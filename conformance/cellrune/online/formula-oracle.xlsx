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xr:revisionPtr revIDLastSave="0" documentId="8_{9836D1A5-893E-4729-8464-6F11EFA39AC1}" xr6:coauthVersionLast="47" xr6:coauthVersionMax="47" xr10:uidLastSave="{00000000-0000-0000-0000-000000000000}"/>
  <bookViews>
    <workbookView xWindow="0" yWindow="0" windowWidth="24000" windowHeight="15000" xr2:uid="{00000000-000D-0000-FFFF-FFFF00000000}"/>
  </bookViews>
  <sheets>
    <sheet name="Overview" sheetId="1" r:id="rId1"/>
    <sheet name="SharedData" sheetId="2" r:id="rId2"/>
    <sheet name="Arithmetic" sheetId="3" r:id="rId3"/>
    <sheet name="Aggregates" sheetId="4" r:id="rId4"/>
    <sheet name="ArraysCSE" sheetId="5" r:id="rId5"/>
    <sheet name="ArraysDynamic" sheetId="6" r:id="rId6"/>
    <sheet name="Intersection" sheetId="7" r:id="rId7"/>
    <sheet name="Financial" sheetId="8" r:id="rId8"/>
    <sheet name="Lookup" sheetId="9" r:id="rId9"/>
    <sheet name="TextDate" sheetId="10" r:id="rId10"/>
    <sheet name="Errors" sheetId="11" r:id="rId11"/>
    <sheet name="Unsupported" sheetId="12" r:id="rId12"/>
    <sheet name="SpanStart" sheetId="13" r:id="rId13"/>
    <sheet name="SpanMid" sheetId="14" state="hidden" r:id="rId14"/>
    <sheet name="SpanEnd" sheetId="15" r:id="rId15"/>
  </sheets>
  <definedNames>
    <definedName name="InputAmounts">SharedData!$E$6:$E$25</definedName>
    <definedName name="InputCashDates">SharedData!$M$6:$M$15</definedName>
    <definedName name="InputCashFlows">SharedData!$L$6:$L$15</definedName>
    <definedName name="InputCategories">SharedData!$C$6:$C$25</definedName>
    <definedName name="InputDates">SharedData!$D$6:$D$25</definedName>
    <definedName name="InputLabels">SharedData!$B$6:$B$25</definedName>
    <definedName name="InputNumbers">SharedData!$A$6:$A$25</definedName>
    <definedName name="InputWeights">SharedData!$F$6:$F$25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3" i="12" l="1"/>
  <c r="F1109" i="12"/>
  <c r="F1085" i="12"/>
  <c r="F1061" i="12"/>
  <c r="F1037" i="12" a="1"/>
  <c r="F1037" i="12"/>
  <c r="F1013" i="12" a="1"/>
  <c r="F1013" i="12"/>
  <c r="F965" i="12" a="1"/>
  <c r="F965" i="12"/>
  <c r="N965" i="12" s="1"/>
  <c r="F941" i="12" a="1"/>
  <c r="F941" i="12"/>
  <c r="F917" i="12"/>
  <c r="F893" i="12"/>
  <c r="F869" i="12"/>
  <c r="F845" i="12"/>
  <c r="F821" i="12"/>
  <c r="F749" i="12"/>
  <c r="F725" i="12"/>
  <c r="F701" i="12"/>
  <c r="F677" i="12"/>
  <c r="S4" i="12"/>
  <c r="S3" i="12"/>
  <c r="S2" i="12"/>
  <c r="F47" i="11"/>
  <c r="F46" i="11"/>
  <c r="F45" i="11"/>
  <c r="N45" i="11" s="1"/>
  <c r="F44" i="11"/>
  <c r="F43" i="11"/>
  <c r="F42" i="11"/>
  <c r="F41" i="11"/>
  <c r="F40" i="11"/>
  <c r="F39" i="11"/>
  <c r="F38" i="11"/>
  <c r="F37" i="11"/>
  <c r="N37" i="11" s="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N21" i="11" s="1"/>
  <c r="F20" i="11"/>
  <c r="F19" i="11"/>
  <c r="F18" i="11"/>
  <c r="F17" i="11"/>
  <c r="F16" i="11"/>
  <c r="F15" i="11"/>
  <c r="F14" i="11"/>
  <c r="F13" i="11"/>
  <c r="N13" i="11" s="1"/>
  <c r="F12" i="11"/>
  <c r="F11" i="11"/>
  <c r="F10" i="11"/>
  <c r="F9" i="11"/>
  <c r="F8" i="11"/>
  <c r="F7" i="11"/>
  <c r="F6" i="11"/>
  <c r="F5" i="11"/>
  <c r="S4" i="11"/>
  <c r="S3" i="11"/>
  <c r="S2" i="11"/>
  <c r="F90" i="10"/>
  <c r="F89" i="10"/>
  <c r="P89" i="10" s="1"/>
  <c r="F88" i="10"/>
  <c r="F87" i="10"/>
  <c r="F86" i="10"/>
  <c r="F85" i="10"/>
  <c r="N85" i="10" s="1"/>
  <c r="F84" i="10"/>
  <c r="F83" i="10"/>
  <c r="F82" i="10"/>
  <c r="F81" i="10"/>
  <c r="F80" i="10"/>
  <c r="F79" i="10"/>
  <c r="F78" i="10"/>
  <c r="F77" i="10"/>
  <c r="F76" i="10" a="1"/>
  <c r="F76" i="10"/>
  <c r="F75" i="10"/>
  <c r="F74" i="10"/>
  <c r="F73" i="10"/>
  <c r="F72" i="10"/>
  <c r="F71" i="10"/>
  <c r="F70" i="10"/>
  <c r="F69" i="10"/>
  <c r="N69" i="10" s="1"/>
  <c r="F68" i="10"/>
  <c r="F67" i="10"/>
  <c r="F66" i="10"/>
  <c r="F65" i="10"/>
  <c r="P65" i="10" s="1"/>
  <c r="F64" i="10"/>
  <c r="F63" i="10"/>
  <c r="F62" i="10"/>
  <c r="F61" i="10"/>
  <c r="N61" i="10" s="1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N45" i="10" s="1"/>
  <c r="F44" i="10"/>
  <c r="F43" i="10"/>
  <c r="F42" i="10"/>
  <c r="F41" i="10"/>
  <c r="F40" i="10"/>
  <c r="F39" i="10"/>
  <c r="F38" i="10"/>
  <c r="F37" i="10"/>
  <c r="N37" i="10" s="1"/>
  <c r="F36" i="10"/>
  <c r="F35" i="10"/>
  <c r="F34" i="10"/>
  <c r="F33" i="10"/>
  <c r="F32" i="10"/>
  <c r="F31" i="10"/>
  <c r="F30" i="10"/>
  <c r="F29" i="10"/>
  <c r="P29" i="10" s="1"/>
  <c r="F28" i="10"/>
  <c r="F26" i="10"/>
  <c r="F25" i="10"/>
  <c r="F24" i="10"/>
  <c r="F23" i="10"/>
  <c r="F22" i="10"/>
  <c r="F21" i="10"/>
  <c r="N21" i="10" s="1"/>
  <c r="F20" i="10"/>
  <c r="F19" i="10"/>
  <c r="F18" i="10"/>
  <c r="F17" i="10"/>
  <c r="F16" i="10"/>
  <c r="F15" i="10"/>
  <c r="F14" i="10"/>
  <c r="F13" i="10"/>
  <c r="N13" i="10" s="1"/>
  <c r="F12" i="10"/>
  <c r="F11" i="10"/>
  <c r="F10" i="10"/>
  <c r="F9" i="10"/>
  <c r="F8" i="10"/>
  <c r="F7" i="10"/>
  <c r="F6" i="10"/>
  <c r="N5" i="10"/>
  <c r="F5" i="10"/>
  <c r="S4" i="10"/>
  <c r="S3" i="10"/>
  <c r="S2" i="10"/>
  <c r="F38" i="9"/>
  <c r="N37" i="9"/>
  <c r="F37" i="9"/>
  <c r="F36" i="9"/>
  <c r="F34" i="9"/>
  <c r="F33" i="9"/>
  <c r="F32" i="9"/>
  <c r="F31" i="9"/>
  <c r="F30" i="9"/>
  <c r="F29" i="9"/>
  <c r="P29" i="9" s="1"/>
  <c r="F28" i="9"/>
  <c r="F27" i="9"/>
  <c r="F26" i="9"/>
  <c r="F25" i="9"/>
  <c r="F24" i="9"/>
  <c r="F23" i="9"/>
  <c r="F22" i="9"/>
  <c r="F21" i="9"/>
  <c r="N21" i="9" s="1"/>
  <c r="F20" i="9"/>
  <c r="F19" i="9"/>
  <c r="F18" i="9"/>
  <c r="F17" i="9"/>
  <c r="F16" i="9"/>
  <c r="F15" i="9"/>
  <c r="F14" i="9"/>
  <c r="F12" i="9"/>
  <c r="F11" i="9"/>
  <c r="F10" i="9"/>
  <c r="F9" i="9"/>
  <c r="F8" i="9"/>
  <c r="F7" i="9"/>
  <c r="F6" i="9"/>
  <c r="S4" i="9"/>
  <c r="S3" i="9"/>
  <c r="S2" i="9"/>
  <c r="F65" i="8"/>
  <c r="P65" i="8" s="1"/>
  <c r="F64" i="8"/>
  <c r="F63" i="8"/>
  <c r="F62" i="8"/>
  <c r="F61" i="8"/>
  <c r="N61" i="8" s="1"/>
  <c r="F60" i="8"/>
  <c r="F59" i="8"/>
  <c r="F58" i="8"/>
  <c r="F57" i="8"/>
  <c r="F56" i="8"/>
  <c r="F55" i="8"/>
  <c r="F54" i="8"/>
  <c r="N53" i="8"/>
  <c r="F53" i="8"/>
  <c r="P53" i="8" s="1"/>
  <c r="F52" i="8"/>
  <c r="F51" i="8"/>
  <c r="F50" i="8"/>
  <c r="F49" i="8"/>
  <c r="F48" i="8"/>
  <c r="F47" i="8"/>
  <c r="F46" i="8"/>
  <c r="N45" i="8"/>
  <c r="F45" i="8"/>
  <c r="F44" i="8"/>
  <c r="F43" i="8"/>
  <c r="F42" i="8"/>
  <c r="F41" i="8"/>
  <c r="P41" i="8" s="1"/>
  <c r="F40" i="8"/>
  <c r="F39" i="8"/>
  <c r="F38" i="8"/>
  <c r="N37" i="8"/>
  <c r="F37" i="8"/>
  <c r="F36" i="8"/>
  <c r="F35" i="8"/>
  <c r="F34" i="8"/>
  <c r="F33" i="8"/>
  <c r="F32" i="8"/>
  <c r="F31" i="8"/>
  <c r="F30" i="8"/>
  <c r="F29" i="8"/>
  <c r="P29" i="8" s="1"/>
  <c r="F28" i="8"/>
  <c r="F27" i="8"/>
  <c r="F26" i="8"/>
  <c r="F25" i="8"/>
  <c r="F24" i="8"/>
  <c r="F23" i="8"/>
  <c r="F22" i="8"/>
  <c r="F21" i="8"/>
  <c r="N21" i="8" s="1"/>
  <c r="F20" i="8"/>
  <c r="F19" i="8"/>
  <c r="F18" i="8"/>
  <c r="F17" i="8"/>
  <c r="F16" i="8"/>
  <c r="F15" i="8"/>
  <c r="F14" i="8"/>
  <c r="N13" i="8"/>
  <c r="F13" i="8"/>
  <c r="F12" i="8"/>
  <c r="F11" i="8"/>
  <c r="F10" i="8"/>
  <c r="F9" i="8"/>
  <c r="F8" i="8"/>
  <c r="F7" i="8"/>
  <c r="F6" i="8"/>
  <c r="P5" i="8"/>
  <c r="N5" i="8"/>
  <c r="F5" i="8"/>
  <c r="P17" i="9" s="1"/>
  <c r="S4" i="8"/>
  <c r="S3" i="8"/>
  <c r="S2" i="8"/>
  <c r="F15" i="7"/>
  <c r="F14" i="7"/>
  <c r="F12" i="7"/>
  <c r="F11" i="7"/>
  <c r="F10" i="7"/>
  <c r="F9" i="7"/>
  <c r="F8" i="7"/>
  <c r="F7" i="7"/>
  <c r="F6" i="7"/>
  <c r="N5" i="7"/>
  <c r="F5" i="7"/>
  <c r="P17" i="8" s="1"/>
  <c r="S4" i="7"/>
  <c r="S3" i="7"/>
  <c r="S2" i="7"/>
  <c r="F1349" i="6" a="1"/>
  <c r="F1349" i="6" s="1"/>
  <c r="N1349" i="6" s="1"/>
  <c r="F1325" i="6" a="1"/>
  <c r="F1325" i="6" s="1"/>
  <c r="F1301" i="6" a="1"/>
  <c r="F1301" i="6" s="1"/>
  <c r="F1277" i="6" a="1"/>
  <c r="F1277" i="6" s="1"/>
  <c r="F1253" i="6" a="1"/>
  <c r="F1253" i="6" s="1"/>
  <c r="F1229" i="6" a="1"/>
  <c r="F1229" i="6" s="1"/>
  <c r="F1205" i="6"/>
  <c r="F1181" i="6" a="1"/>
  <c r="F1181" i="6" s="1"/>
  <c r="N1157" i="6"/>
  <c r="F1157" i="6"/>
  <c r="P1157" i="6" s="1"/>
  <c r="F1133" i="6"/>
  <c r="F1109" i="6"/>
  <c r="F1085" i="6"/>
  <c r="F1061" i="6"/>
  <c r="F1037" i="6" a="1"/>
  <c r="F1037" i="6" s="1"/>
  <c r="F1013" i="6" a="1"/>
  <c r="F1013" i="6" s="1"/>
  <c r="F989" i="6" a="1"/>
  <c r="F989" i="6" s="1"/>
  <c r="F965" i="6" a="1"/>
  <c r="F965" i="6" s="1"/>
  <c r="N965" i="6" s="1"/>
  <c r="F941" i="6" a="1"/>
  <c r="F941" i="6" s="1"/>
  <c r="F917" i="6" a="1"/>
  <c r="F917" i="6"/>
  <c r="F893" i="6" a="1"/>
  <c r="F893" i="6" s="1"/>
  <c r="F869" i="6" a="1"/>
  <c r="F869" i="6" s="1"/>
  <c r="P869" i="6" s="1"/>
  <c r="F845" i="6" a="1"/>
  <c r="F845" i="6" s="1"/>
  <c r="F821" i="6" a="1"/>
  <c r="F821" i="6" s="1"/>
  <c r="F797" i="6" a="1"/>
  <c r="F797" i="6" s="1"/>
  <c r="F725" i="6" a="1"/>
  <c r="F725" i="6" s="1"/>
  <c r="F701" i="6" a="1"/>
  <c r="F701" i="6" s="1"/>
  <c r="F677" i="6" a="1"/>
  <c r="F677" i="6" s="1"/>
  <c r="F653" i="6" a="1"/>
  <c r="F653" i="6" s="1"/>
  <c r="F629" i="6" a="1"/>
  <c r="F629" i="6" s="1"/>
  <c r="F605" i="6" a="1"/>
  <c r="F605" i="6" s="1"/>
  <c r="F581" i="6" a="1"/>
  <c r="F581" i="6" s="1"/>
  <c r="F557" i="6" a="1"/>
  <c r="F557" i="6" s="1"/>
  <c r="F533" i="6" a="1"/>
  <c r="F533" i="6"/>
  <c r="F509" i="6" a="1"/>
  <c r="F509" i="6" s="1"/>
  <c r="F485" i="6" a="1"/>
  <c r="F485" i="6" s="1"/>
  <c r="F461" i="6" a="1"/>
  <c r="F461" i="6" s="1"/>
  <c r="F437" i="6" a="1"/>
  <c r="F437" i="6" s="1"/>
  <c r="F413" i="6" a="1"/>
  <c r="F413" i="6" s="1"/>
  <c r="F389" i="6" a="1"/>
  <c r="F389" i="6" s="1"/>
  <c r="N389" i="6" s="1"/>
  <c r="F365" i="6" a="1"/>
  <c r="F365" i="6" s="1"/>
  <c r="F293" i="6" a="1"/>
  <c r="F293" i="6"/>
  <c r="P293" i="6" s="1"/>
  <c r="F269" i="6" a="1"/>
  <c r="F269" i="6"/>
  <c r="F245" i="6" a="1"/>
  <c r="F245" i="6" s="1"/>
  <c r="F197" i="6" a="1"/>
  <c r="F197" i="6" s="1"/>
  <c r="N197" i="6" s="1"/>
  <c r="F173" i="6" a="1"/>
  <c r="F173" i="6" s="1"/>
  <c r="F149" i="6" a="1"/>
  <c r="F149" i="6" s="1"/>
  <c r="F125" i="6" a="1"/>
  <c r="F125" i="6" s="1"/>
  <c r="F101" i="6" a="1"/>
  <c r="F101" i="6" s="1"/>
  <c r="F77" i="6" a="1"/>
  <c r="F77" i="6" s="1"/>
  <c r="F53" i="6" a="1"/>
  <c r="F53" i="6" s="1"/>
  <c r="F29" i="6" a="1"/>
  <c r="F29" i="6" s="1"/>
  <c r="F5" i="6" a="1"/>
  <c r="F5" i="6" s="1"/>
  <c r="S4" i="6"/>
  <c r="S3" i="6"/>
  <c r="S2" i="6"/>
  <c r="F80" i="5" a="1"/>
  <c r="F80" i="5"/>
  <c r="J75" i="5"/>
  <c r="H75" i="5"/>
  <c r="G75" i="5"/>
  <c r="F75" i="5" a="1"/>
  <c r="I75" i="5" s="1"/>
  <c r="F75" i="5"/>
  <c r="F70" i="5" a="1"/>
  <c r="H72" i="5" s="1"/>
  <c r="F65" i="5" a="1"/>
  <c r="F65" i="5" s="1"/>
  <c r="F60" i="5" a="1"/>
  <c r="F60" i="5"/>
  <c r="F55" i="5" a="1"/>
  <c r="H57" i="5" s="1"/>
  <c r="F51" i="5"/>
  <c r="G50" i="5"/>
  <c r="F50" i="5" a="1"/>
  <c r="G51" i="5" s="1"/>
  <c r="F50" i="5"/>
  <c r="G46" i="5"/>
  <c r="G45" i="5"/>
  <c r="F45" i="5" a="1"/>
  <c r="F46" i="5" s="1"/>
  <c r="H40" i="5"/>
  <c r="G40" i="5"/>
  <c r="F40" i="5" a="1"/>
  <c r="F40" i="5"/>
  <c r="F35" i="5" a="1"/>
  <c r="H35" i="5" s="1"/>
  <c r="F31" i="5"/>
  <c r="G30" i="5"/>
  <c r="F30" i="5" a="1"/>
  <c r="G31" i="5" s="1"/>
  <c r="F30" i="5"/>
  <c r="F25" i="5" a="1"/>
  <c r="I27" i="5" s="1"/>
  <c r="G22" i="5"/>
  <c r="G21" i="5"/>
  <c r="G20" i="5"/>
  <c r="F20" i="5" a="1"/>
  <c r="F22" i="5" s="1"/>
  <c r="H17" i="5"/>
  <c r="G17" i="5"/>
  <c r="H16" i="5"/>
  <c r="G16" i="5"/>
  <c r="H15" i="5"/>
  <c r="G15" i="5"/>
  <c r="F15" i="5" a="1"/>
  <c r="F17" i="5" s="1"/>
  <c r="F15" i="5"/>
  <c r="F10" i="5" a="1"/>
  <c r="F10" i="5" s="1"/>
  <c r="F5" i="5" a="1"/>
  <c r="F5" i="5"/>
  <c r="N5" i="5" s="1"/>
  <c r="S4" i="5"/>
  <c r="S3" i="5"/>
  <c r="S2" i="5"/>
  <c r="F177" i="4"/>
  <c r="F176" i="4"/>
  <c r="F175" i="4"/>
  <c r="F174" i="4"/>
  <c r="N173" i="4"/>
  <c r="F173" i="4"/>
  <c r="F172" i="4"/>
  <c r="F171" i="4"/>
  <c r="F170" i="4"/>
  <c r="F169" i="4"/>
  <c r="F168" i="4"/>
  <c r="F167" i="4"/>
  <c r="F166" i="4"/>
  <c r="N165" i="4"/>
  <c r="F165" i="4"/>
  <c r="F164" i="4"/>
  <c r="F163" i="4"/>
  <c r="F162" i="4"/>
  <c r="F161" i="4"/>
  <c r="F160" i="4"/>
  <c r="F159" i="4"/>
  <c r="F158" i="4"/>
  <c r="F157" i="4"/>
  <c r="N157" i="4" s="1"/>
  <c r="F156" i="4"/>
  <c r="F155" i="4"/>
  <c r="F154" i="4"/>
  <c r="F153" i="4"/>
  <c r="F152" i="4"/>
  <c r="F151" i="4"/>
  <c r="F150" i="4"/>
  <c r="N149" i="4"/>
  <c r="F149" i="4"/>
  <c r="F148" i="4"/>
  <c r="F147" i="4"/>
  <c r="F146" i="4"/>
  <c r="F145" i="4"/>
  <c r="F144" i="4"/>
  <c r="F143" i="4"/>
  <c r="F142" i="4"/>
  <c r="N141" i="4"/>
  <c r="F141" i="4"/>
  <c r="F140" i="4"/>
  <c r="F139" i="4"/>
  <c r="F138" i="4"/>
  <c r="F137" i="4"/>
  <c r="F136" i="4"/>
  <c r="F135" i="4"/>
  <c r="F134" i="4"/>
  <c r="N133" i="4"/>
  <c r="F133" i="4"/>
  <c r="F132" i="4"/>
  <c r="F131" i="4"/>
  <c r="F130" i="4"/>
  <c r="F129" i="4"/>
  <c r="F128" i="4"/>
  <c r="F127" i="4"/>
  <c r="F126" i="4"/>
  <c r="F125" i="4"/>
  <c r="N125" i="4" s="1"/>
  <c r="F124" i="4"/>
  <c r="F123" i="4"/>
  <c r="F122" i="4"/>
  <c r="F121" i="4"/>
  <c r="F120" i="4"/>
  <c r="F119" i="4"/>
  <c r="F118" i="4"/>
  <c r="F117" i="4"/>
  <c r="N117" i="4" s="1"/>
  <c r="F116" i="4"/>
  <c r="F115" i="4"/>
  <c r="F114" i="4"/>
  <c r="F113" i="4"/>
  <c r="F112" i="4"/>
  <c r="F111" i="4"/>
  <c r="F110" i="4"/>
  <c r="N109" i="4"/>
  <c r="F109" i="4"/>
  <c r="F108" i="4"/>
  <c r="F107" i="4"/>
  <c r="F106" i="4"/>
  <c r="F105" i="4"/>
  <c r="F104" i="4"/>
  <c r="F103" i="4"/>
  <c r="F102" i="4"/>
  <c r="N101" i="4"/>
  <c r="F101" i="4"/>
  <c r="F100" i="4"/>
  <c r="F99" i="4"/>
  <c r="F98" i="4"/>
  <c r="F97" i="4"/>
  <c r="F96" i="4"/>
  <c r="F95" i="4"/>
  <c r="F94" i="4"/>
  <c r="N93" i="4"/>
  <c r="F93" i="4"/>
  <c r="F92" i="4"/>
  <c r="F91" i="4"/>
  <c r="F90" i="4"/>
  <c r="F89" i="4"/>
  <c r="F88" i="4"/>
  <c r="F87" i="4"/>
  <c r="F86" i="4"/>
  <c r="F85" i="4"/>
  <c r="N85" i="4" s="1"/>
  <c r="F84" i="4"/>
  <c r="F83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N69" i="4" s="1"/>
  <c r="F62" i="4"/>
  <c r="N61" i="4"/>
  <c r="F61" i="4"/>
  <c r="F60" i="4"/>
  <c r="F59" i="4"/>
  <c r="F58" i="4"/>
  <c r="F57" i="4"/>
  <c r="F56" i="4"/>
  <c r="F55" i="4"/>
  <c r="F54" i="4"/>
  <c r="F53" i="4"/>
  <c r="N53" i="4" s="1"/>
  <c r="F52" i="4"/>
  <c r="F51" i="4"/>
  <c r="F50" i="4"/>
  <c r="F49" i="4"/>
  <c r="F48" i="4"/>
  <c r="F47" i="4"/>
  <c r="F46" i="4"/>
  <c r="F45" i="4"/>
  <c r="N45" i="4" s="1"/>
  <c r="F44" i="4"/>
  <c r="F43" i="4"/>
  <c r="F42" i="4"/>
  <c r="F41" i="4"/>
  <c r="F40" i="4"/>
  <c r="F39" i="4"/>
  <c r="F38" i="4"/>
  <c r="F34" i="4"/>
  <c r="F33" i="4"/>
  <c r="F32" i="4"/>
  <c r="F31" i="4"/>
  <c r="F30" i="4"/>
  <c r="F28" i="4"/>
  <c r="F27" i="4"/>
  <c r="F26" i="4"/>
  <c r="F23" i="4"/>
  <c r="F22" i="4"/>
  <c r="N21" i="4"/>
  <c r="F21" i="4"/>
  <c r="F20" i="4"/>
  <c r="F19" i="4"/>
  <c r="F18" i="4"/>
  <c r="F17" i="4"/>
  <c r="F16" i="4"/>
  <c r="F15" i="4"/>
  <c r="F14" i="4"/>
  <c r="F13" i="4"/>
  <c r="N13" i="4" s="1"/>
  <c r="F12" i="4"/>
  <c r="F11" i="4"/>
  <c r="F10" i="4"/>
  <c r="F9" i="4"/>
  <c r="F8" i="4"/>
  <c r="F7" i="4"/>
  <c r="F6" i="4"/>
  <c r="F5" i="4"/>
  <c r="S4" i="4"/>
  <c r="S3" i="4"/>
  <c r="S2" i="4"/>
  <c r="F166" i="3"/>
  <c r="F165" i="3"/>
  <c r="N165" i="3" s="1"/>
  <c r="F164" i="3"/>
  <c r="F163" i="3"/>
  <c r="F162" i="3"/>
  <c r="F161" i="3"/>
  <c r="F160" i="3"/>
  <c r="F159" i="3"/>
  <c r="F158" i="3"/>
  <c r="F157" i="3"/>
  <c r="N157" i="3" s="1"/>
  <c r="F156" i="3"/>
  <c r="F155" i="3"/>
  <c r="F154" i="3"/>
  <c r="F153" i="3"/>
  <c r="F152" i="3"/>
  <c r="F151" i="3"/>
  <c r="F150" i="3"/>
  <c r="F149" i="3"/>
  <c r="P161" i="4" s="1"/>
  <c r="F148" i="3"/>
  <c r="F147" i="3"/>
  <c r="F146" i="3"/>
  <c r="F145" i="3"/>
  <c r="F144" i="3"/>
  <c r="F143" i="3"/>
  <c r="F142" i="3"/>
  <c r="F141" i="3"/>
  <c r="N141" i="3" s="1"/>
  <c r="F140" i="3"/>
  <c r="F139" i="3"/>
  <c r="F138" i="3"/>
  <c r="F137" i="3"/>
  <c r="P137" i="3" s="1"/>
  <c r="F136" i="3"/>
  <c r="F135" i="3"/>
  <c r="F134" i="3"/>
  <c r="N133" i="3"/>
  <c r="F133" i="3"/>
  <c r="F132" i="3"/>
  <c r="F131" i="3"/>
  <c r="F130" i="3"/>
  <c r="F129" i="3"/>
  <c r="F128" i="3"/>
  <c r="F127" i="3"/>
  <c r="F126" i="3"/>
  <c r="P125" i="3"/>
  <c r="F125" i="3"/>
  <c r="N125" i="3" s="1"/>
  <c r="F124" i="3"/>
  <c r="F123" i="3"/>
  <c r="F122" i="3"/>
  <c r="F121" i="3"/>
  <c r="F120" i="3"/>
  <c r="F119" i="3"/>
  <c r="F118" i="3"/>
  <c r="F117" i="3"/>
  <c r="N117" i="3" s="1"/>
  <c r="F116" i="3"/>
  <c r="F115" i="3"/>
  <c r="F114" i="3"/>
  <c r="P113" i="3"/>
  <c r="F113" i="3"/>
  <c r="P125" i="4" s="1"/>
  <c r="F112" i="3"/>
  <c r="F111" i="3"/>
  <c r="F110" i="3"/>
  <c r="F109" i="3"/>
  <c r="N109" i="3" s="1"/>
  <c r="F108" i="3"/>
  <c r="F107" i="3"/>
  <c r="F106" i="3"/>
  <c r="F105" i="3"/>
  <c r="F104" i="3"/>
  <c r="F103" i="3"/>
  <c r="F102" i="3"/>
  <c r="P101" i="3"/>
  <c r="N101" i="3"/>
  <c r="F101" i="3"/>
  <c r="P113" i="4" s="1"/>
  <c r="F100" i="3"/>
  <c r="F99" i="3"/>
  <c r="F98" i="3"/>
  <c r="F97" i="3"/>
  <c r="F96" i="3"/>
  <c r="F95" i="3"/>
  <c r="F94" i="3"/>
  <c r="N93" i="3"/>
  <c r="F93" i="3"/>
  <c r="F92" i="3"/>
  <c r="F91" i="3"/>
  <c r="F90" i="3"/>
  <c r="F89" i="3"/>
  <c r="P89" i="3" s="1"/>
  <c r="F88" i="3"/>
  <c r="F87" i="3"/>
  <c r="F86" i="3"/>
  <c r="F85" i="3"/>
  <c r="N85" i="3" s="1"/>
  <c r="F84" i="3"/>
  <c r="F83" i="3"/>
  <c r="F82" i="3"/>
  <c r="F81" i="3"/>
  <c r="F80" i="3"/>
  <c r="F79" i="3"/>
  <c r="F78" i="3"/>
  <c r="F77" i="3"/>
  <c r="P77" i="3" s="1"/>
  <c r="F76" i="3"/>
  <c r="F75" i="3"/>
  <c r="F74" i="3"/>
  <c r="F73" i="3"/>
  <c r="F72" i="3"/>
  <c r="F71" i="3"/>
  <c r="F70" i="3"/>
  <c r="F69" i="3"/>
  <c r="N69" i="3" s="1"/>
  <c r="F68" i="3"/>
  <c r="F67" i="3"/>
  <c r="F66" i="3"/>
  <c r="F65" i="3"/>
  <c r="P65" i="3" s="1"/>
  <c r="F64" i="3"/>
  <c r="F63" i="3"/>
  <c r="F62" i="3"/>
  <c r="N61" i="3"/>
  <c r="F61" i="3"/>
  <c r="F60" i="3"/>
  <c r="F58" i="3"/>
  <c r="F57" i="3"/>
  <c r="F56" i="3"/>
  <c r="F55" i="3"/>
  <c r="F54" i="3"/>
  <c r="P53" i="3"/>
  <c r="F53" i="3"/>
  <c r="N53" i="3" s="1"/>
  <c r="F52" i="3"/>
  <c r="F51" i="3"/>
  <c r="F50" i="3"/>
  <c r="F49" i="3"/>
  <c r="F48" i="3"/>
  <c r="F47" i="3"/>
  <c r="F46" i="3"/>
  <c r="F45" i="3"/>
  <c r="N45" i="3" s="1"/>
  <c r="F44" i="3"/>
  <c r="F43" i="3"/>
  <c r="F42" i="3"/>
  <c r="P41" i="3"/>
  <c r="F41" i="3"/>
  <c r="P53" i="4" s="1"/>
  <c r="F40" i="3"/>
  <c r="F39" i="3"/>
  <c r="F38" i="3"/>
  <c r="F37" i="3"/>
  <c r="N37" i="3" s="1"/>
  <c r="F36" i="3"/>
  <c r="F35" i="3"/>
  <c r="F34" i="3"/>
  <c r="F33" i="3"/>
  <c r="F32" i="3"/>
  <c r="F31" i="3"/>
  <c r="F30" i="3"/>
  <c r="P29" i="3"/>
  <c r="N29" i="3"/>
  <c r="F29" i="3"/>
  <c r="P41" i="4" s="1"/>
  <c r="F28" i="3"/>
  <c r="F27" i="3"/>
  <c r="F26" i="3"/>
  <c r="F25" i="3"/>
  <c r="F24" i="3"/>
  <c r="F23" i="3"/>
  <c r="F22" i="3"/>
  <c r="N21" i="3"/>
  <c r="F21" i="3"/>
  <c r="F20" i="3"/>
  <c r="F19" i="3"/>
  <c r="F18" i="3"/>
  <c r="F17" i="3"/>
  <c r="P17" i="3" s="1"/>
  <c r="F16" i="3"/>
  <c r="F15" i="3"/>
  <c r="F14" i="3"/>
  <c r="F13" i="3"/>
  <c r="N13" i="3" s="1"/>
  <c r="F12" i="3"/>
  <c r="F11" i="3"/>
  <c r="F10" i="3"/>
  <c r="F9" i="3"/>
  <c r="F8" i="3"/>
  <c r="F7" i="3"/>
  <c r="F6" i="3"/>
  <c r="F5" i="3"/>
  <c r="N5" i="3" s="1"/>
  <c r="S4" i="3"/>
  <c r="S3" i="3"/>
  <c r="C8" i="1" s="1"/>
  <c r="S2" i="3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F37" i="4" s="1"/>
  <c r="N37" i="4" s="1"/>
  <c r="R2" i="2" a="1"/>
  <c r="R2" i="2" s="1"/>
  <c r="P2" i="2" a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B8" i="1"/>
  <c r="B4" i="1" s="1"/>
  <c r="K4" i="1"/>
  <c r="F35" i="9"/>
  <c r="F13" i="9"/>
  <c r="F27" i="10"/>
  <c r="F5" i="9"/>
  <c r="F66" i="4"/>
  <c r="F59" i="3"/>
  <c r="F65" i="4"/>
  <c r="F67" i="4"/>
  <c r="F64" i="4"/>
  <c r="P65" i="4" l="1"/>
  <c r="P17" i="10"/>
  <c r="N5" i="9"/>
  <c r="P5" i="9"/>
  <c r="N13" i="9"/>
  <c r="F1517" i="6"/>
  <c r="F1493" i="6"/>
  <c r="F1541" i="6"/>
  <c r="N1541" i="6" s="1"/>
  <c r="F1469" i="6"/>
  <c r="F1421" i="6"/>
  <c r="F1397" i="6"/>
  <c r="P2" i="2"/>
  <c r="F1373" i="6" s="1"/>
  <c r="P161" i="3"/>
  <c r="P173" i="4"/>
  <c r="P17" i="4"/>
  <c r="F25" i="4"/>
  <c r="P89" i="4"/>
  <c r="P101" i="4"/>
  <c r="P65" i="5"/>
  <c r="P5" i="6"/>
  <c r="N5" i="6"/>
  <c r="P581" i="6"/>
  <c r="N581" i="6"/>
  <c r="F989" i="12" a="1"/>
  <c r="F989" i="12" s="1"/>
  <c r="F773" i="6" a="1"/>
  <c r="F773" i="6" s="1"/>
  <c r="N773" i="6" s="1"/>
  <c r="F341" i="6" a="1"/>
  <c r="F341" i="6" s="1"/>
  <c r="F178" i="4"/>
  <c r="F68" i="4"/>
  <c r="F63" i="4"/>
  <c r="F36" i="4"/>
  <c r="F29" i="4"/>
  <c r="F13" i="7"/>
  <c r="N13" i="7" s="1"/>
  <c r="F749" i="6" a="1"/>
  <c r="F749" i="6" s="1"/>
  <c r="F317" i="6" a="1"/>
  <c r="F317" i="6" s="1"/>
  <c r="F221" i="6" a="1"/>
  <c r="F221" i="6" s="1"/>
  <c r="N77" i="3"/>
  <c r="N149" i="3"/>
  <c r="P5" i="4"/>
  <c r="P77" i="4"/>
  <c r="F82" i="4"/>
  <c r="P137" i="4"/>
  <c r="F797" i="12"/>
  <c r="F773" i="12"/>
  <c r="N773" i="12" s="1"/>
  <c r="P5" i="3"/>
  <c r="P149" i="3"/>
  <c r="N5" i="4"/>
  <c r="F24" i="4"/>
  <c r="F35" i="4"/>
  <c r="N77" i="4"/>
  <c r="P149" i="4"/>
  <c r="P5" i="10"/>
  <c r="P5" i="5"/>
  <c r="I25" i="5"/>
  <c r="H26" i="5"/>
  <c r="G27" i="5"/>
  <c r="F56" i="5"/>
  <c r="F57" i="5"/>
  <c r="F71" i="5"/>
  <c r="F72" i="5"/>
  <c r="F16" i="5"/>
  <c r="F20" i="5"/>
  <c r="H20" i="5"/>
  <c r="H21" i="5"/>
  <c r="H22" i="5"/>
  <c r="G25" i="5"/>
  <c r="F26" i="5"/>
  <c r="I26" i="5"/>
  <c r="H27" i="5"/>
  <c r="G35" i="5"/>
  <c r="F45" i="5"/>
  <c r="N45" i="5" s="1"/>
  <c r="H45" i="5"/>
  <c r="H46" i="5"/>
  <c r="G55" i="5"/>
  <c r="G56" i="5"/>
  <c r="G57" i="5"/>
  <c r="G70" i="5"/>
  <c r="G71" i="5"/>
  <c r="G72" i="5"/>
  <c r="P5" i="7"/>
  <c r="N29" i="8"/>
  <c r="N29" i="9"/>
  <c r="N29" i="10"/>
  <c r="F21" i="5"/>
  <c r="F25" i="5"/>
  <c r="H25" i="5"/>
  <c r="G26" i="5"/>
  <c r="F27" i="5"/>
  <c r="F35" i="5"/>
  <c r="F55" i="5"/>
  <c r="H55" i="5"/>
  <c r="H56" i="5"/>
  <c r="F70" i="5"/>
  <c r="H70" i="5"/>
  <c r="H71" i="5"/>
  <c r="P41" i="10"/>
  <c r="P53" i="10"/>
  <c r="N53" i="10"/>
  <c r="P77" i="10"/>
  <c r="N77" i="10"/>
  <c r="P5" i="11"/>
  <c r="N5" i="11"/>
  <c r="P17" i="11"/>
  <c r="P29" i="11"/>
  <c r="N29" i="11"/>
  <c r="P41" i="11"/>
  <c r="P869" i="12"/>
  <c r="P29" i="4" l="1"/>
  <c r="N29" i="4"/>
  <c r="F1445" i="6" a="1"/>
  <c r="F1445" i="6" s="1"/>
  <c r="P1445" i="6" s="1"/>
  <c r="B25" i="1"/>
  <c r="O2" i="2"/>
  <c r="O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<sst xmlns="http://schemas.openxmlformats.org/spreadsheetml/2006/main" count="5284" uniqueCount="2119">
  <si>
    <t>CellRune Excel Oracle — deterministic function atlas</t>
  </si>
  <si>
    <t>Excel-authored cache oracle covering the plan's 10 sheets, CSE/dynamic arrays, reference semantics, structured/3-D references, and a Microsoft function catalog broader than CellRune.</t>
  </si>
  <si>
    <t>Active oracle formulas</t>
  </si>
  <si>
    <t>Catalogued functions</t>
  </si>
  <si>
    <t>CellRune catalog</t>
  </si>
  <si>
    <t>Breadth ratio</t>
  </si>
  <si>
    <t>Deterministic active functions</t>
  </si>
  <si>
    <t>Explicit exclusions</t>
  </si>
  <si>
    <t>Date system</t>
  </si>
  <si>
    <t>1900</t>
  </si>
  <si>
    <t>Saved by</t>
  </si>
  <si>
    <t>Microsoft Excel for Mac</t>
  </si>
  <si>
    <t>Oracle sheet</t>
  </si>
  <si>
    <t>Active formulas</t>
  </si>
  <si>
    <t>Primary cases</t>
  </si>
  <si>
    <t>All formulas incl. sentinels</t>
  </si>
  <si>
    <t>Coverage focus</t>
  </si>
  <si>
    <t>Arithmetic</t>
  </si>
  <si>
    <t>Near-zero cancellation, 15-digit residue, math/trig/engineering</t>
  </si>
  <si>
    <t>Aggregates</t>
  </si>
  <si>
    <t>Aggregate, database, statistical, mixed-type and empty-range behavior</t>
  </si>
  <si>
    <t>ArraysCSE</t>
  </si>
  <si>
    <t>Legacy array formulas, broadcasting, padding, mixed array literals</t>
  </si>
  <si>
    <t>ArraysDynamic</t>
  </si>
  <si>
    <t>Spill arrays, Lambda helpers, shape transforms and blockers</t>
  </si>
  <si>
    <t>Intersection</t>
  </si>
  <si>
    <t>Implicit intersection, union/intersection/range, whole row/column and 3-D</t>
  </si>
  <si>
    <t>Financial</t>
  </si>
  <si>
    <t>Cash-flow solvers, securities, convergence and #NUM! boundaries</t>
  </si>
  <si>
    <t>Lookup</t>
  </si>
  <si>
    <t>Legacy and modern lookup, approximate match, structured references</t>
  </si>
  <si>
    <t>TextDate</t>
  </si>
  <si>
    <t>Text, regex, date/time, 1900 leap-year and locale-sensitive formatting</t>
  </si>
  <si>
    <t>Errors</t>
  </si>
  <si>
    <t>Error propagation, catchers, error arguments and iterative circular cells</t>
  </si>
  <si>
    <t>Unsupported</t>
  </si>
  <si>
    <t>LET/LAMBDA, 3-D, structured refs, external/volatile exclusions</t>
  </si>
  <si>
    <t>Oracle rules</t>
  </si>
  <si>
    <t>No current time or random functions; all input ranges are visible; every cross-sheet reference is quoted; Excel owns the saved cache.</t>
  </si>
  <si>
    <t>Source catalog</t>
  </si>
  <si>
    <t>https://support.microsoft.com/en-US/Excel/excel-functions-alphabetical</t>
  </si>
  <si>
    <t>Recalculation protocol</t>
  </si>
  <si>
    <t>Open in Microsoft Excel → Calculate Now / F9 → save as .xlsx → verify formula cells contain cached &lt;v&gt; values.</t>
  </si>
  <si>
    <t>Sentinel chain</t>
  </si>
  <si>
    <t>SharedData — deterministic workbook inputs</t>
  </si>
  <si>
    <t>Spill anchor</t>
  </si>
  <si>
    <t>Blocked spill</t>
  </si>
  <si>
    <t>T/U/V below are header-less numeric columns for whole-column array cases (T,U = 20 rows; V = 12).</t>
  </si>
  <si>
    <t>Every oracle sheet references these typed inputs. No mock/random/current-time data is used.</t>
  </si>
  <si>
    <t>blocker</t>
  </si>
  <si>
    <t>Number</t>
  </si>
  <si>
    <t>Key</t>
  </si>
  <si>
    <t>Category</t>
  </si>
  <si>
    <t>Date</t>
  </si>
  <si>
    <t>Amount</t>
  </si>
  <si>
    <t>Quantity</t>
  </si>
  <si>
    <t>Flag</t>
  </si>
  <si>
    <t>Mixed</t>
  </si>
  <si>
    <t>X</t>
  </si>
  <si>
    <t>Y = 2X+3</t>
  </si>
  <si>
    <t>Probability</t>
  </si>
  <si>
    <t>Cash flow</t>
  </si>
  <si>
    <t>Cash date</t>
  </si>
  <si>
    <t>Complex text</t>
  </si>
  <si>
    <t>K001</t>
  </si>
  <si>
    <t>A</t>
  </si>
  <si>
    <t>1+1i</t>
  </si>
  <si>
    <t>K002</t>
  </si>
  <si>
    <t>B</t>
  </si>
  <si>
    <t>text</t>
  </si>
  <si>
    <t>2+2i</t>
  </si>
  <si>
    <t>K003</t>
  </si>
  <si>
    <t>C</t>
  </si>
  <si>
    <t>3+3i</t>
  </si>
  <si>
    <t>K004</t>
  </si>
  <si>
    <t>4+4i</t>
  </si>
  <si>
    <t>K005</t>
  </si>
  <si>
    <t>5+5i</t>
  </si>
  <si>
    <t>K006</t>
  </si>
  <si>
    <t>0</t>
  </si>
  <si>
    <t>6+1i</t>
  </si>
  <si>
    <t>K007</t>
  </si>
  <si>
    <t>7+2i</t>
  </si>
  <si>
    <t>K008</t>
  </si>
  <si>
    <t>CellRune</t>
  </si>
  <si>
    <t>8+3i</t>
  </si>
  <si>
    <t>K009</t>
  </si>
  <si>
    <t>9+4i</t>
  </si>
  <si>
    <t>K010</t>
  </si>
  <si>
    <t>10+5i</t>
  </si>
  <si>
    <t>K011</t>
  </si>
  <si>
    <t>11+1i</t>
  </si>
  <si>
    <t>K012</t>
  </si>
  <si>
    <t>12+2i</t>
  </si>
  <si>
    <t>K013</t>
  </si>
  <si>
    <t>13+3i</t>
  </si>
  <si>
    <t>K014</t>
  </si>
  <si>
    <t>14+4i</t>
  </si>
  <si>
    <t>K015</t>
  </si>
  <si>
    <t>15+5i</t>
  </si>
  <si>
    <t>K016</t>
  </si>
  <si>
    <t>16+1i</t>
  </si>
  <si>
    <t>K017</t>
  </si>
  <si>
    <t>17+2i</t>
  </si>
  <si>
    <t>K018</t>
  </si>
  <si>
    <t>18+3i</t>
  </si>
  <si>
    <t>K019</t>
  </si>
  <si>
    <t>19+4i</t>
  </si>
  <si>
    <t>K020</t>
  </si>
  <si>
    <t>20+5i</t>
  </si>
  <si>
    <t>&gt;50</t>
  </si>
  <si>
    <t>&lt;=120</t>
  </si>
  <si>
    <t>Arithmetic — CellRune Excel Oracle</t>
  </si>
  <si>
    <t>Blue cells are formulas. Gray rows are catalogued exclusions. Excel must recalculate and save cached values.</t>
  </si>
  <si>
    <t>Catalog rows</t>
  </si>
  <si>
    <t>Case ID</t>
  </si>
  <si>
    <t>Function</t>
  </si>
  <si>
    <t>Scenario</t>
  </si>
  <si>
    <t>Formula text</t>
  </si>
  <si>
    <t>Result / spill zone</t>
  </si>
  <si>
    <t>Expectation</t>
  </si>
  <si>
    <t>Sentinel</t>
  </si>
  <si>
    <t>Note</t>
  </si>
  <si>
    <t>Dependency signature</t>
  </si>
  <si>
    <t>function:abs</t>
  </si>
  <si>
    <t>Math and trigonometry</t>
  </si>
  <si>
    <t>ABS</t>
  </si>
  <si>
    <t>Curated deterministic boundary with shared-data and cross-sheet inputs</t>
  </si>
  <si>
    <t>=ABS('SharedData'!$A$8)</t>
  </si>
  <si>
    <t>oracle_probe</t>
  </si>
  <si>
    <t>Recalculate in Excel and compare the saved result.</t>
  </si>
  <si>
    <t>function:acos</t>
  </si>
  <si>
    <t>ACOS</t>
  </si>
  <si>
    <t>Function-catalog probe; genuine error results are retained as oracle evidence</t>
  </si>
  <si>
    <t>=ACOS(0.5)</t>
  </si>
  <si>
    <t>function:acosh</t>
  </si>
  <si>
    <t>ACOSH</t>
  </si>
  <si>
    <t>Function-catalog probe with a repaired call signature</t>
  </si>
  <si>
    <t>=ACOSH(2.5)</t>
  </si>
  <si>
    <t>function:acot</t>
  </si>
  <si>
    <t>ACOT</t>
  </si>
  <si>
    <t>=ACOT(0.5)</t>
  </si>
  <si>
    <t>function:acoth</t>
  </si>
  <si>
    <t>ACOTH</t>
  </si>
  <si>
    <t>=ACOTH(0.5)</t>
  </si>
  <si>
    <t>function:aggregate</t>
  </si>
  <si>
    <t>AGGREGATE</t>
  </si>
  <si>
    <t>=AGGREGATE(9,6,'SharedData'!$E$6:$E$25)</t>
  </si>
  <si>
    <t>function:arabic</t>
  </si>
  <si>
    <t>ARABIC</t>
  </si>
  <si>
    <t>=ARABIC("MMXXVI")</t>
  </si>
  <si>
    <t>function:asin</t>
  </si>
  <si>
    <t>ASIN</t>
  </si>
  <si>
    <t>=ASIN(0.5)</t>
  </si>
  <si>
    <t>function:asinh</t>
  </si>
  <si>
    <t>ASINH</t>
  </si>
  <si>
    <t>=ASINH(0.5)</t>
  </si>
  <si>
    <t>function:atan</t>
  </si>
  <si>
    <t>ATAN</t>
  </si>
  <si>
    <t>=ATAN(0.5)</t>
  </si>
  <si>
    <t>function:atan2</t>
  </si>
  <si>
    <t>ATAN2</t>
  </si>
  <si>
    <t>=ATAN2(1,1)</t>
  </si>
  <si>
    <t>function:atanh</t>
  </si>
  <si>
    <t>ATANH</t>
  </si>
  <si>
    <t>=ATANH(0.5)</t>
  </si>
  <si>
    <t>function:base</t>
  </si>
  <si>
    <t>BASE</t>
  </si>
  <si>
    <t>=BASE(255,16,4)</t>
  </si>
  <si>
    <t>function:besseli</t>
  </si>
  <si>
    <t>Engineering</t>
  </si>
  <si>
    <t>BESSELI</t>
  </si>
  <si>
    <t>=BESSELI(1.5,2)</t>
  </si>
  <si>
    <t>function:besselj</t>
  </si>
  <si>
    <t>BESSELJ</t>
  </si>
  <si>
    <t>=BESSELJ(1.5,2)</t>
  </si>
  <si>
    <t>function:besselk</t>
  </si>
  <si>
    <t>BESSELK</t>
  </si>
  <si>
    <t>=BESSELK(1.5,2)</t>
  </si>
  <si>
    <t>function:bessely</t>
  </si>
  <si>
    <t>BESSELY</t>
  </si>
  <si>
    <t>=BESSELY(1.5,2)</t>
  </si>
  <si>
    <t>function:bin2dec</t>
  </si>
  <si>
    <t>BIN2DEC</t>
  </si>
  <si>
    <t>=BIN2DEC("101101")</t>
  </si>
  <si>
    <t>function:bin2hex</t>
  </si>
  <si>
    <t>BIN2HEX</t>
  </si>
  <si>
    <t>=BIN2HEX("101101",4)</t>
  </si>
  <si>
    <t>function:bin2oct</t>
  </si>
  <si>
    <t>BIN2OCT</t>
  </si>
  <si>
    <t>=BIN2OCT("101101",4)</t>
  </si>
  <si>
    <t>function:bitand</t>
  </si>
  <si>
    <t>BITAND</t>
  </si>
  <si>
    <t>=BITAND(29,23)</t>
  </si>
  <si>
    <t>function:bitlshift</t>
  </si>
  <si>
    <t>BITLSHIFT</t>
  </si>
  <si>
    <t>=BITLSHIFT(7,3)</t>
  </si>
  <si>
    <t>function:bitor</t>
  </si>
  <si>
    <t>BITOR</t>
  </si>
  <si>
    <t>=BITOR(29,23)</t>
  </si>
  <si>
    <t>function:bitrshift</t>
  </si>
  <si>
    <t>BITRSHIFT</t>
  </si>
  <si>
    <t>=BITRSHIFT(128,3)</t>
  </si>
  <si>
    <t>function:bitxor</t>
  </si>
  <si>
    <t>BITXOR</t>
  </si>
  <si>
    <t>=BITXOR(29,23)</t>
  </si>
  <si>
    <t>function:ceiling</t>
  </si>
  <si>
    <t>CEILING</t>
  </si>
  <si>
    <t>=CEILING('SharedData'!$A$19,0.25)</t>
  </si>
  <si>
    <t>function:ceiling-math</t>
  </si>
  <si>
    <t>CEILING.MATH</t>
  </si>
  <si>
    <t>=CEILING.MATH('SharedData'!$A$19,0.25,1)</t>
  </si>
  <si>
    <t>function:ceiling-precise</t>
  </si>
  <si>
    <t>CEILING.PRECISE</t>
  </si>
  <si>
    <t>=CEILING.PRECISE('SharedData'!$A$19,0.25)</t>
  </si>
  <si>
    <t>function:combin</t>
  </si>
  <si>
    <t>COMBIN</t>
  </si>
  <si>
    <t>=COMBIN(10,3)</t>
  </si>
  <si>
    <t>function:combina</t>
  </si>
  <si>
    <t>COMBINA</t>
  </si>
  <si>
    <t>=COMBINA(10,3)</t>
  </si>
  <si>
    <t>function:complex</t>
  </si>
  <si>
    <t>COMPLEX</t>
  </si>
  <si>
    <t>=COMPLEX(3,4,"i")</t>
  </si>
  <si>
    <t>function:convert</t>
  </si>
  <si>
    <t>CONVERT</t>
  </si>
  <si>
    <t>=CONVERT(10,"km","mi")</t>
  </si>
  <si>
    <t>function:cos</t>
  </si>
  <si>
    <t>COS</t>
  </si>
  <si>
    <t>=COS(0.5)</t>
  </si>
  <si>
    <t>function:cosh</t>
  </si>
  <si>
    <t>COSH</t>
  </si>
  <si>
    <t>=COSH(0.5)</t>
  </si>
  <si>
    <t>function:cot</t>
  </si>
  <si>
    <t>COT</t>
  </si>
  <si>
    <t>=COT(0.5)</t>
  </si>
  <si>
    <t>function:coth</t>
  </si>
  <si>
    <t>COTH</t>
  </si>
  <si>
    <t>=COTH(0.5)</t>
  </si>
  <si>
    <t>function:csc</t>
  </si>
  <si>
    <t>CSC</t>
  </si>
  <si>
    <t>=CSC(0.5)</t>
  </si>
  <si>
    <t>function:csch</t>
  </si>
  <si>
    <t>CSCH</t>
  </si>
  <si>
    <t>=CSCH(0.5)</t>
  </si>
  <si>
    <t>function:dec2bin</t>
  </si>
  <si>
    <t>DEC2BIN</t>
  </si>
  <si>
    <t>=DEC2BIN(45,8)</t>
  </si>
  <si>
    <t>function:dec2hex</t>
  </si>
  <si>
    <t>DEC2HEX</t>
  </si>
  <si>
    <t>=DEC2HEX(4095,6)</t>
  </si>
  <si>
    <t>function:dec2oct</t>
  </si>
  <si>
    <t>DEC2OCT</t>
  </si>
  <si>
    <t>=DEC2OCT(511,5)</t>
  </si>
  <si>
    <t>function:decimal</t>
  </si>
  <si>
    <t>DECIMAL</t>
  </si>
  <si>
    <t>=DECIMAL("FF",16)</t>
  </si>
  <si>
    <t>function:degrees</t>
  </si>
  <si>
    <t>DEGREES</t>
  </si>
  <si>
    <t>=DEGREES(PI()/3)</t>
  </si>
  <si>
    <t>function:delta</t>
  </si>
  <si>
    <t>DELTA</t>
  </si>
  <si>
    <t>=DELTA('SharedData'!$A$9,'SharedData'!$A$10)</t>
  </si>
  <si>
    <t>function:erf</t>
  </si>
  <si>
    <t>ERF</t>
  </si>
  <si>
    <t>=ERF(10)</t>
  </si>
  <si>
    <t>function:erf-precise</t>
  </si>
  <si>
    <t>ERF.PRECISE</t>
  </si>
  <si>
    <t>=ERF.PRECISE(10)</t>
  </si>
  <si>
    <t>function:erfc</t>
  </si>
  <si>
    <t>ERFC</t>
  </si>
  <si>
    <t>=ERFC(10)</t>
  </si>
  <si>
    <t>function:erfc-precise</t>
  </si>
  <si>
    <t>ERFC.PRECISE</t>
  </si>
  <si>
    <t>=ERFC.PRECISE(10)</t>
  </si>
  <si>
    <t>function:even</t>
  </si>
  <si>
    <t>EVEN</t>
  </si>
  <si>
    <t>=EVEN(0.5)</t>
  </si>
  <si>
    <t>function:exp</t>
  </si>
  <si>
    <t>EXP</t>
  </si>
  <si>
    <t>=EXP(0.5)</t>
  </si>
  <si>
    <t>function:fact</t>
  </si>
  <si>
    <t>FACT</t>
  </si>
  <si>
    <t>=FACT(0.5)</t>
  </si>
  <si>
    <t>function:factdouble</t>
  </si>
  <si>
    <t>FACTDOUBLE</t>
  </si>
  <si>
    <t>=FACTDOUBLE(0.5)</t>
  </si>
  <si>
    <t>function:floor</t>
  </si>
  <si>
    <t>FLOOR</t>
  </si>
  <si>
    <t>=FLOOR('SharedData'!$A$19,0.25)</t>
  </si>
  <si>
    <t>function:floor-math</t>
  </si>
  <si>
    <t>FLOOR.MATH</t>
  </si>
  <si>
    <t>=FLOOR.MATH('SharedData'!$A$19,0.25,1)</t>
  </si>
  <si>
    <t>function:floor-precise</t>
  </si>
  <si>
    <t>FLOOR.PRECISE</t>
  </si>
  <si>
    <t>=FLOOR.PRECISE('SharedData'!$A$19,0.25)</t>
  </si>
  <si>
    <t>function:gcd</t>
  </si>
  <si>
    <t>GCD</t>
  </si>
  <si>
    <t>=GCD(48,180,420)</t>
  </si>
  <si>
    <t>function:gestep</t>
  </si>
  <si>
    <t>GESTEP</t>
  </si>
  <si>
    <t>=GESTEP(10)</t>
  </si>
  <si>
    <t>function:hex2bin</t>
  </si>
  <si>
    <t>HEX2BIN</t>
  </si>
  <si>
    <t>=HEX2BIN("2D",8)</t>
  </si>
  <si>
    <t>function:hex2dec</t>
  </si>
  <si>
    <t>HEX2DEC</t>
  </si>
  <si>
    <t>=HEX2DEC("FFF")</t>
  </si>
  <si>
    <t>function:hex2oct</t>
  </si>
  <si>
    <t>HEX2OCT</t>
  </si>
  <si>
    <t>=HEX2OCT("1FF",5)</t>
  </si>
  <si>
    <t>function:imabs</t>
  </si>
  <si>
    <t>IMABS</t>
  </si>
  <si>
    <t>=IMABS(COMPLEX(3,4))</t>
  </si>
  <si>
    <t>function:imaginary</t>
  </si>
  <si>
    <t>IMAGINARY</t>
  </si>
  <si>
    <t>=IMAGINARY(COMPLEX(3,4))</t>
  </si>
  <si>
    <t>function:imargument</t>
  </si>
  <si>
    <t>IMARGUMENT</t>
  </si>
  <si>
    <t>=IMARGUMENT(COMPLEX(3,4))</t>
  </si>
  <si>
    <t>function:imconjugate</t>
  </si>
  <si>
    <t>IMCONJUGATE</t>
  </si>
  <si>
    <t>=IMCONJUGATE(COMPLEX(3,4))</t>
  </si>
  <si>
    <t>function:imcos</t>
  </si>
  <si>
    <t>IMCOS</t>
  </si>
  <si>
    <t>=IMCOS(COMPLEX(3,4))</t>
  </si>
  <si>
    <t>function:imcosh</t>
  </si>
  <si>
    <t>IMCOSH</t>
  </si>
  <si>
    <t>=IMCOSH(COMPLEX(3,4))</t>
  </si>
  <si>
    <t>function:imcot</t>
  </si>
  <si>
    <t>IMCOT</t>
  </si>
  <si>
    <t>=IMCOT(COMPLEX(3,4))</t>
  </si>
  <si>
    <t>function:imcsc</t>
  </si>
  <si>
    <t>IMCSC</t>
  </si>
  <si>
    <t>=IMCSC(COMPLEX(3,4))</t>
  </si>
  <si>
    <t>function:imcsch</t>
  </si>
  <si>
    <t>IMCSCH</t>
  </si>
  <si>
    <t>=IMCSCH(COMPLEX(3,4))</t>
  </si>
  <si>
    <t>function:imdiv</t>
  </si>
  <si>
    <t>IMDIV</t>
  </si>
  <si>
    <t>=IMDIV(COMPLEX(3,4),COMPLEX(1,-2))</t>
  </si>
  <si>
    <t>function:imexp</t>
  </si>
  <si>
    <t>IMEXP</t>
  </si>
  <si>
    <t>=IMEXP(COMPLEX(3,4))</t>
  </si>
  <si>
    <t>function:imln</t>
  </si>
  <si>
    <t>IMLN</t>
  </si>
  <si>
    <t>=IMLN(COMPLEX(3,4))</t>
  </si>
  <si>
    <t>function:imlog10</t>
  </si>
  <si>
    <t>IMLOG10</t>
  </si>
  <si>
    <t>=IMLOG10(COMPLEX(3,4))</t>
  </si>
  <si>
    <t>function:imlog2</t>
  </si>
  <si>
    <t>IMLOG2</t>
  </si>
  <si>
    <t>=IMLOG2(COMPLEX(3,4))</t>
  </si>
  <si>
    <t>function:impower</t>
  </si>
  <si>
    <t>IMPOWER</t>
  </si>
  <si>
    <t>=IMPOWER(COMPLEX(3,4),3)</t>
  </si>
  <si>
    <t>function:improduct</t>
  </si>
  <si>
    <t>IMPRODUCT</t>
  </si>
  <si>
    <t>=IMPRODUCT(COMPLEX(3,4),COMPLEX(1,-2))</t>
  </si>
  <si>
    <t>function:imreal</t>
  </si>
  <si>
    <t>IMREAL</t>
  </si>
  <si>
    <t>=IMREAL(COMPLEX(3,4))</t>
  </si>
  <si>
    <t>function:imsec</t>
  </si>
  <si>
    <t>IMSEC</t>
  </si>
  <si>
    <t>=IMSEC(COMPLEX(3,4))</t>
  </si>
  <si>
    <t>function:imsech</t>
  </si>
  <si>
    <t>IMSECH</t>
  </si>
  <si>
    <t>=IMSECH(COMPLEX(3,4))</t>
  </si>
  <si>
    <t>function:imsin</t>
  </si>
  <si>
    <t>IMSIN</t>
  </si>
  <si>
    <t>=IMSIN(COMPLEX(3,4))</t>
  </si>
  <si>
    <t>function:imsinh</t>
  </si>
  <si>
    <t>IMSINH</t>
  </si>
  <si>
    <t>=IMSINH(COMPLEX(3,4))</t>
  </si>
  <si>
    <t>function:imsqrt</t>
  </si>
  <si>
    <t>IMSQRT</t>
  </si>
  <si>
    <t>=IMSQRT(COMPLEX(3,4))</t>
  </si>
  <si>
    <t>function:imsub</t>
  </si>
  <si>
    <t>IMSUB</t>
  </si>
  <si>
    <t>=IMSUB(COMPLEX(3,4),COMPLEX(1,-2))</t>
  </si>
  <si>
    <t>function:imsum</t>
  </si>
  <si>
    <t>IMSUM</t>
  </si>
  <si>
    <t>=IMSUM(COMPLEX(3,4),COMPLEX(1,-2))</t>
  </si>
  <si>
    <t>function:imtan</t>
  </si>
  <si>
    <t>IMTAN</t>
  </si>
  <si>
    <t>=IMTAN(COMPLEX(3,4))</t>
  </si>
  <si>
    <t>function:int</t>
  </si>
  <si>
    <t>INT</t>
  </si>
  <si>
    <t>=INT(0.5)</t>
  </si>
  <si>
    <t>function:iso-ceiling</t>
  </si>
  <si>
    <t>ISO.CEILING</t>
  </si>
  <si>
    <t>=ISO.CEILING(0.5)</t>
  </si>
  <si>
    <t>function:lcm</t>
  </si>
  <si>
    <t>LCM</t>
  </si>
  <si>
    <t>=LCM(12,18,30)</t>
  </si>
  <si>
    <t>function:ln</t>
  </si>
  <si>
    <t>LN</t>
  </si>
  <si>
    <t>=LN(0.5)</t>
  </si>
  <si>
    <t>function:log</t>
  </si>
  <si>
    <t>LOG</t>
  </si>
  <si>
    <t>=LOG(0.5)</t>
  </si>
  <si>
    <t>function:log10</t>
  </si>
  <si>
    <t>LOG10</t>
  </si>
  <si>
    <t>=LOG10(0.5)</t>
  </si>
  <si>
    <t>function:loginv</t>
  </si>
  <si>
    <t>LOGINV</t>
  </si>
  <si>
    <t>=LOGINV(0.6,2,0.5)</t>
  </si>
  <si>
    <t>function:lognorm-dist</t>
  </si>
  <si>
    <t>LOGNORM.DIST</t>
  </si>
  <si>
    <t>=LOGNORM.DIST(4,2,0.5,TRUE)</t>
  </si>
  <si>
    <t>function:lognorm-inv</t>
  </si>
  <si>
    <t>LOGNORM.INV</t>
  </si>
  <si>
    <t>=LOGNORM.INV(0.6,2,0.5)</t>
  </si>
  <si>
    <t>function:lognormdist</t>
  </si>
  <si>
    <t>LOGNORMDIST</t>
  </si>
  <si>
    <t>=LOGNORMDIST(4,2,0.5)</t>
  </si>
  <si>
    <t>function:mdeterm</t>
  </si>
  <si>
    <t>MDETERM</t>
  </si>
  <si>
    <t>=MDETERM({1,2;3,4})</t>
  </si>
  <si>
    <t>function:mod</t>
  </si>
  <si>
    <t>MOD</t>
  </si>
  <si>
    <t>=MOD('SharedData'!$A$19,0.25)</t>
  </si>
  <si>
    <t>function:mround</t>
  </si>
  <si>
    <t>MROUND</t>
  </si>
  <si>
    <t>=MROUND('SharedData'!$A$19,0.25)</t>
  </si>
  <si>
    <t>function:multinomial</t>
  </si>
  <si>
    <t>MULTINOMIAL</t>
  </si>
  <si>
    <t>=MULTINOMIAL(0.5)</t>
  </si>
  <si>
    <t>function:oct2bin</t>
  </si>
  <si>
    <t>OCT2BIN</t>
  </si>
  <si>
    <t>=OCT2BIN("55",8)</t>
  </si>
  <si>
    <t>function:oct2dec</t>
  </si>
  <si>
    <t>OCT2DEC</t>
  </si>
  <si>
    <t>=OCT2DEC("777")</t>
  </si>
  <si>
    <t>function:oct2hex</t>
  </si>
  <si>
    <t>OCT2HEX</t>
  </si>
  <si>
    <t>=OCT2HEX("777",5)</t>
  </si>
  <si>
    <t>function:odd</t>
  </si>
  <si>
    <t>ODD</t>
  </si>
  <si>
    <t>=ODD(0.5)</t>
  </si>
  <si>
    <t>function:percentof</t>
  </si>
  <si>
    <t>PERCENTOF</t>
  </si>
  <si>
    <t>=PERCENTOF('SharedData'!$E$6:$E$25,100)</t>
  </si>
  <si>
    <t>function:permut</t>
  </si>
  <si>
    <t>PERMUT</t>
  </si>
  <si>
    <t>=PERMUT(10,3)</t>
  </si>
  <si>
    <t>function:permutationa</t>
  </si>
  <si>
    <t>PERMUTATIONA</t>
  </si>
  <si>
    <t>=PERMUTATIONA(10,3)</t>
  </si>
  <si>
    <t>function:pi</t>
  </si>
  <si>
    <t>PI</t>
  </si>
  <si>
    <t>=PI()</t>
  </si>
  <si>
    <t>function:power</t>
  </si>
  <si>
    <t>POWER</t>
  </si>
  <si>
    <t>=POWER(2,10)</t>
  </si>
  <si>
    <t>function:product</t>
  </si>
  <si>
    <t>PRODUCT</t>
  </si>
  <si>
    <t>=PRODUCT(0.5)</t>
  </si>
  <si>
    <t>function:quotient</t>
  </si>
  <si>
    <t>QUOTIENT</t>
  </si>
  <si>
    <t>=QUOTIENT(17,5)</t>
  </si>
  <si>
    <t>function:radians</t>
  </si>
  <si>
    <t>RADIANS</t>
  </si>
  <si>
    <t>=RADIANS(0.5)</t>
  </si>
  <si>
    <t>function:roman</t>
  </si>
  <si>
    <t>ROMAN</t>
  </si>
  <si>
    <t>=ROMAN(2026,0)</t>
  </si>
  <si>
    <t>function:round</t>
  </si>
  <si>
    <t>ROUND</t>
  </si>
  <si>
    <t>=ROUND('SharedData'!$A$19,3)</t>
  </si>
  <si>
    <t>function:rounddown</t>
  </si>
  <si>
    <t>ROUNDDOWN</t>
  </si>
  <si>
    <t>=ROUNDDOWN('SharedData'!$A$19,3)</t>
  </si>
  <si>
    <t>function:roundup</t>
  </si>
  <si>
    <t>ROUNDUP</t>
  </si>
  <si>
    <t>=ROUNDUP('SharedData'!$A$19,3)</t>
  </si>
  <si>
    <t>function:sec</t>
  </si>
  <si>
    <t>SEC</t>
  </si>
  <si>
    <t>=SEC(0.5)</t>
  </si>
  <si>
    <t>function:sech</t>
  </si>
  <si>
    <t>SECH</t>
  </si>
  <si>
    <t>=SECH(0.5)</t>
  </si>
  <si>
    <t>function:seriessum</t>
  </si>
  <si>
    <t>SERIESSUM</t>
  </si>
  <si>
    <t>=SERIESSUM(0.785398163397448,0,2,{1,-0.333333333333333,0.2,-0.142857142857143})</t>
  </si>
  <si>
    <t>function:sign</t>
  </si>
  <si>
    <t>SIGN</t>
  </si>
  <si>
    <t>=SIGN(0.5)</t>
  </si>
  <si>
    <t>function:sin</t>
  </si>
  <si>
    <t>SIN</t>
  </si>
  <si>
    <t>=SIN(0.5)</t>
  </si>
  <si>
    <t>function:sinh</t>
  </si>
  <si>
    <t>SINH</t>
  </si>
  <si>
    <t>=SINH(0.5)</t>
  </si>
  <si>
    <t>function:sqrt</t>
  </si>
  <si>
    <t>SQRT</t>
  </si>
  <si>
    <t>=SQRT(0.5)</t>
  </si>
  <si>
    <t>function:sqrtpi</t>
  </si>
  <si>
    <t>SQRTPI</t>
  </si>
  <si>
    <t>=SQRTPI(0.5)</t>
  </si>
  <si>
    <t>function:subtotal</t>
  </si>
  <si>
    <t>SUBTOTAL</t>
  </si>
  <si>
    <t>=SUBTOTAL(109,'SharedData'!$E$6:$E$25)</t>
  </si>
  <si>
    <t>function:sum</t>
  </si>
  <si>
    <t>SUM</t>
  </si>
  <si>
    <t>=SUM('SharedData'!$E$6:$E$25)</t>
  </si>
  <si>
    <t>function:sumif</t>
  </si>
  <si>
    <t>SUMIF</t>
  </si>
  <si>
    <t>=SUMIF('SharedData'!$C$6:$C$25,"A",'SharedData'!$E$6:$E$25)</t>
  </si>
  <si>
    <t>function:sumifs</t>
  </si>
  <si>
    <t>SUMIFS</t>
  </si>
  <si>
    <t>=SUMIFS('SharedData'!$E$6:$E$25,'SharedData'!$C$6:$C$25,"A",'SharedData'!$F$6:$F$25,"&gt;5")</t>
  </si>
  <si>
    <t>function:sumproduct</t>
  </si>
  <si>
    <t>SUMPRODUCT</t>
  </si>
  <si>
    <t>=SUMPRODUCT('SharedData'!$E$6:$E$25,'SharedData'!$F$6:$F$25)</t>
  </si>
  <si>
    <t>function:sumsq</t>
  </si>
  <si>
    <t>SUMSQ</t>
  </si>
  <si>
    <t>=SUMSQ(0.5)</t>
  </si>
  <si>
    <t>function:sumx2my2</t>
  </si>
  <si>
    <t>SUMX2MY2</t>
  </si>
  <si>
    <t>=SUMX2MY2('SharedData'!$E$6:$E$15,'SharedData'!$F$6:$F$15)</t>
  </si>
  <si>
    <t>function:sumx2py2</t>
  </si>
  <si>
    <t>SUMX2PY2</t>
  </si>
  <si>
    <t>=SUMX2PY2('SharedData'!$E$6:$E$15,'SharedData'!$F$6:$F$15)</t>
  </si>
  <si>
    <t>function:sumxmy2</t>
  </si>
  <si>
    <t>SUMXMY2</t>
  </si>
  <si>
    <t>=SUMXMY2('SharedData'!$E$6:$E$15,'SharedData'!$F$6:$F$15)</t>
  </si>
  <si>
    <t>function:tan</t>
  </si>
  <si>
    <t>TAN</t>
  </si>
  <si>
    <t>=TAN(0.5)</t>
  </si>
  <si>
    <t>function:tanh</t>
  </si>
  <si>
    <t>TANH</t>
  </si>
  <si>
    <t>=TANH(0.5)</t>
  </si>
  <si>
    <t>function:trunc</t>
  </si>
  <si>
    <t>TRUNC</t>
  </si>
  <si>
    <t>=TRUNC(0.5)</t>
  </si>
  <si>
    <t>curated:arithmetic:c001</t>
  </si>
  <si>
    <t>Curated behaviour</t>
  </si>
  <si>
    <t>CURATED</t>
  </si>
  <si>
    <t>Hand-picked semantic boundary named by the oracle plan</t>
  </si>
  <si>
    <t>=0.1+0.2-0.3</t>
  </si>
  <si>
    <t>Uses only deterministic workbook inputs; result must be cached by Excel.</t>
  </si>
  <si>
    <t>curated:arithmetic:c002</t>
  </si>
  <si>
    <t>=(0.5-0.4)-0.1</t>
  </si>
  <si>
    <t>curated:arithmetic:c003</t>
  </si>
  <si>
    <t>=SUM(0.1,0.2,-0.3)</t>
  </si>
  <si>
    <t>curated:arithmetic:c004</t>
  </si>
  <si>
    <t>=0.1+0.2=0.3</t>
  </si>
  <si>
    <t>curated:arithmetic:c005</t>
  </si>
  <si>
    <t>=100.1-100-0.1</t>
  </si>
  <si>
    <t>curated:arithmetic:c006</t>
  </si>
  <si>
    <t>=SUM(100.1,-0.1,-100)</t>
  </si>
  <si>
    <t>curated:arithmetic:c007</t>
  </si>
  <si>
    <t>=SUM(100.1,-100,-0.1)</t>
  </si>
  <si>
    <t>curated:arithmetic:c008</t>
  </si>
  <si>
    <t>=SUM(-100,100.1,-0.1)</t>
  </si>
  <si>
    <t>curated:arithmetic:c009</t>
  </si>
  <si>
    <t>=SUM(-0.3,0.2,0.1)</t>
  </si>
  <si>
    <t>curated:arithmetic:c010</t>
  </si>
  <si>
    <t>=SUM(0.2,-0.3,0.1)</t>
  </si>
  <si>
    <t>curated:arithmetic:c011</t>
  </si>
  <si>
    <t>=100.1-100-0.099999999999999</t>
  </si>
  <si>
    <t>curated:arithmetic:c012</t>
  </si>
  <si>
    <t>=(1.1-1)-0.1</t>
  </si>
  <si>
    <t>curated:arithmetic:c013</t>
  </si>
  <si>
    <t>=1.1-1</t>
  </si>
  <si>
    <t>curated:arithmetic:c014</t>
  </si>
  <si>
    <t>=1.1-1.1</t>
  </si>
  <si>
    <t>curated:arithmetic:c015</t>
  </si>
  <si>
    <t>=1.1-1=0.1</t>
  </si>
  <si>
    <t>curated:arithmetic:c016</t>
  </si>
  <si>
    <t>=-0</t>
  </si>
  <si>
    <t>curated:arithmetic:c017</t>
  </si>
  <si>
    <t>=0*-1</t>
  </si>
  <si>
    <t>curated:arithmetic:c018</t>
  </si>
  <si>
    <t>=SIGN(0*-1)</t>
  </si>
  <si>
    <t>curated:arithmetic:c019</t>
  </si>
  <si>
    <t>=TEXT(0*-1,"0.00;-0.00;zero")</t>
  </si>
  <si>
    <t>curated:arithmetic:c020</t>
  </si>
  <si>
    <t>=1/(0*-1)</t>
  </si>
  <si>
    <t>curated:arithmetic:c021</t>
  </si>
  <si>
    <t>=(0*-1)=0</t>
  </si>
  <si>
    <t>curated:arithmetic:c022</t>
  </si>
  <si>
    <t>=MIN(0,0*-1)</t>
  </si>
  <si>
    <t>curated:arithmetic:c023</t>
  </si>
  <si>
    <t>=-(0)</t>
  </si>
  <si>
    <t>curated:arithmetic:c024</t>
  </si>
  <si>
    <t>=ROUND(SIN(PI()*'SharedData'!$I$6/180)+COS(PI()*'SharedData'!$I$7/180),15)</t>
  </si>
  <si>
    <t>curated:arithmetic:c025</t>
  </si>
  <si>
    <t>=SUMPRODUCT('SharedData'!$A$6:$A$15,'SharedData'!$F$6:$F$15)-SUMPRODUCT('SharedData'!$A$6:$A$15,'SharedData'!$F$6:$F$15)</t>
  </si>
  <si>
    <t>curated:arithmetic:c026</t>
  </si>
  <si>
    <t>=POWER(ABS('SharedData'!$A$8),2)+SQRT('SharedData'!$E$6)</t>
  </si>
  <si>
    <t>curated:arithmetic:c027</t>
  </si>
  <si>
    <t>=SUM('SharedData'!$E$6:INDEX('SharedData'!$E:$E,15))</t>
  </si>
  <si>
    <t>Aggregates — CellRune Excel Oracle</t>
  </si>
  <si>
    <t>function:avedev</t>
  </si>
  <si>
    <t>Statistical</t>
  </si>
  <si>
    <t>AVEDEV</t>
  </si>
  <si>
    <t>=AVEDEV('SharedData'!$E$6:$E$25)</t>
  </si>
  <si>
    <t>function:average</t>
  </si>
  <si>
    <t>AVERAGE</t>
  </si>
  <si>
    <t>=AVERAGE('SharedData'!$E$6:$E$25)</t>
  </si>
  <si>
    <t>function:averagea</t>
  </si>
  <si>
    <t>AVERAGEA</t>
  </si>
  <si>
    <t>=AVERAGEA('SharedData'!$E$6:$E$25)</t>
  </si>
  <si>
    <t>function:averageif</t>
  </si>
  <si>
    <t>AVERAGEIF</t>
  </si>
  <si>
    <t>=AVERAGEIF('SharedData'!$C$6:$C$25,"A",'SharedData'!$E$6:$E$25)</t>
  </si>
  <si>
    <t>function:averageifs</t>
  </si>
  <si>
    <t>AVERAGEIFS</t>
  </si>
  <si>
    <t>=AVERAGEIFS('SharedData'!$E$6:$E$25,'SharedData'!$C$6:$C$25,"A",'SharedData'!$F$6:$F$25,"&gt;5")</t>
  </si>
  <si>
    <t>function:beta-dist</t>
  </si>
  <si>
    <t>BETA.DIST</t>
  </si>
  <si>
    <t>=BETA.DIST(0.6,8,10,TRUE,0,1)</t>
  </si>
  <si>
    <t>function:beta-inv</t>
  </si>
  <si>
    <t>BETA.INV</t>
  </si>
  <si>
    <t>=BETA.INV(0.6,8,10,0,1)</t>
  </si>
  <si>
    <t>function:betadist</t>
  </si>
  <si>
    <t>BETADIST</t>
  </si>
  <si>
    <t>=BETADIST(0.5,2,3,0,1)</t>
  </si>
  <si>
    <t>function:betainv</t>
  </si>
  <si>
    <t>BETAINV</t>
  </si>
  <si>
    <t>=BETAINV(0.5,2,3,0,1)</t>
  </si>
  <si>
    <t>function:binom-dist</t>
  </si>
  <si>
    <t>BINOM.DIST</t>
  </si>
  <si>
    <t>=BINOM.DIST(3,10,0.4,FALSE)</t>
  </si>
  <si>
    <t>function:binom-dist-range</t>
  </si>
  <si>
    <t>BINOM.DIST.RANGE</t>
  </si>
  <si>
    <t>=BINOM.DIST.RANGE(10,0.4,3,6)</t>
  </si>
  <si>
    <t>function:binom-inv</t>
  </si>
  <si>
    <t>BINOM.INV</t>
  </si>
  <si>
    <t>=BINOM.INV(10,0.4,0.6)</t>
  </si>
  <si>
    <t>function:binomdist</t>
  </si>
  <si>
    <t>BINOMDIST</t>
  </si>
  <si>
    <t>=BINOMDIST(3,10,0.4,FALSE)</t>
  </si>
  <si>
    <t>function:chidist</t>
  </si>
  <si>
    <t>CHIDIST</t>
  </si>
  <si>
    <t>=CHIDIST(4,3)</t>
  </si>
  <si>
    <t>function:chiinv</t>
  </si>
  <si>
    <t>CHIINV</t>
  </si>
  <si>
    <t>=CHIINV(0.05,3)</t>
  </si>
  <si>
    <t>function:chisq-dist</t>
  </si>
  <si>
    <t>CHISQ.DIST</t>
  </si>
  <si>
    <t>=CHISQ.DIST(4,3,TRUE)</t>
  </si>
  <si>
    <t>function:chisq-dist-rt</t>
  </si>
  <si>
    <t>CHISQ.DIST.RT</t>
  </si>
  <si>
    <t>=CHISQ.DIST.RT(4,3)</t>
  </si>
  <si>
    <t>function:chisq-inv</t>
  </si>
  <si>
    <t>CHISQ.INV</t>
  </si>
  <si>
    <t>=CHISQ.INV(0.95,3)</t>
  </si>
  <si>
    <t>function:chisq-inv-rt</t>
  </si>
  <si>
    <t>CHISQ.INV.RT</t>
  </si>
  <si>
    <t>=CHISQ.INV.RT(0.05,3)</t>
  </si>
  <si>
    <t>function:chisq-test</t>
  </si>
  <si>
    <t>CHISQ.TEST</t>
  </si>
  <si>
    <t>=CHISQ.TEST('SharedData'!$E$6:$F$8,'SharedData'!$I$6:$J$8)</t>
  </si>
  <si>
    <t>function:chitest</t>
  </si>
  <si>
    <t>CHITEST</t>
  </si>
  <si>
    <t>=CHITEST('SharedData'!$E$6:$F$8,'SharedData'!$I$6:$J$8)</t>
  </si>
  <si>
    <t>function:confidence</t>
  </si>
  <si>
    <t>CONFIDENCE</t>
  </si>
  <si>
    <t>=CONFIDENCE(0.05,2.5,100)</t>
  </si>
  <si>
    <t>function:confidence-norm</t>
  </si>
  <si>
    <t>CONFIDENCE.NORM</t>
  </si>
  <si>
    <t>=CONFIDENCE.NORM(0.05,2.5,100)</t>
  </si>
  <si>
    <t>function:confidence-t</t>
  </si>
  <si>
    <t>CONFIDENCE.T</t>
  </si>
  <si>
    <t>=CONFIDENCE.T(0.05,2.5,100)</t>
  </si>
  <si>
    <t>function:correl</t>
  </si>
  <si>
    <t>CORREL</t>
  </si>
  <si>
    <t>=CORREL('SharedData'!$I$6:$I$25,'SharedData'!$J$6:$J$25)</t>
  </si>
  <si>
    <t>function:count</t>
  </si>
  <si>
    <t>COUNT</t>
  </si>
  <si>
    <t>=COUNT('SharedData'!$E$6:$E$25)</t>
  </si>
  <si>
    <t>function:counta</t>
  </si>
  <si>
    <t>COUNTA</t>
  </si>
  <si>
    <t>=COUNTA('SharedData'!$E$6:$E$25)</t>
  </si>
  <si>
    <t>function:countblank</t>
  </si>
  <si>
    <t>COUNTBLANK</t>
  </si>
  <si>
    <t>=COUNTBLANK('SharedData'!$E$6:$E$25)</t>
  </si>
  <si>
    <t>function:countif</t>
  </si>
  <si>
    <t>COUNTIF</t>
  </si>
  <si>
    <t>=COUNTIF('SharedData'!$C$6:$C$25,"A")</t>
  </si>
  <si>
    <t>function:countifs</t>
  </si>
  <si>
    <t>COUNTIFS</t>
  </si>
  <si>
    <t>=COUNTIFS('SharedData'!$C$6:$C$25,"A",'SharedData'!$E$6:$E$25,"&gt;50")</t>
  </si>
  <si>
    <t>function:covar</t>
  </si>
  <si>
    <t>COVAR</t>
  </si>
  <si>
    <t>=COVAR('SharedData'!$I$6:$I$25,'SharedData'!$J$6:$J$25)</t>
  </si>
  <si>
    <t>function:covariance-p</t>
  </si>
  <si>
    <t>COVARIANCE.P</t>
  </si>
  <si>
    <t>=COVARIANCE.P('SharedData'!$I$6:$I$25,'SharedData'!$J$6:$J$25)</t>
  </si>
  <si>
    <t>function:covariance-s</t>
  </si>
  <si>
    <t>COVARIANCE.S</t>
  </si>
  <si>
    <t>=COVARIANCE.S('SharedData'!$I$6:$I$25,'SharedData'!$J$6:$J$25)</t>
  </si>
  <si>
    <t>function:critbinom</t>
  </si>
  <si>
    <t>CRITBINOM</t>
  </si>
  <si>
    <t>=CRITBINOM(10,0.4,0.6)</t>
  </si>
  <si>
    <t>function:daverage</t>
  </si>
  <si>
    <t>Database</t>
  </si>
  <si>
    <t>DAVERAGE</t>
  </si>
  <si>
    <t>=DAVERAGE('SharedData'!$A$30:$F$50,"Amount",'SharedData'!$H$30:$I$32)</t>
  </si>
  <si>
    <t>function:dcount</t>
  </si>
  <si>
    <t>DCOUNT</t>
  </si>
  <si>
    <t>=DCOUNT('SharedData'!$A$30:$F$50,"Amount",'SharedData'!$H$30:$I$32)</t>
  </si>
  <si>
    <t>function:dcounta</t>
  </si>
  <si>
    <t>DCOUNTA</t>
  </si>
  <si>
    <t>=DCOUNTA('SharedData'!$A$30:$F$50,"Amount",'SharedData'!$H$30:$I$32)</t>
  </si>
  <si>
    <t>function:devsq</t>
  </si>
  <si>
    <t>DEVSQ</t>
  </si>
  <si>
    <t>=DEVSQ('SharedData'!$E$6:$E$25)</t>
  </si>
  <si>
    <t>function:dget</t>
  </si>
  <si>
    <t>DGET</t>
  </si>
  <si>
    <t>=DGET('SharedData'!$A$30:$F$50,"Amount",'SharedData'!$H$30:$I$32)</t>
  </si>
  <si>
    <t>function:dmax</t>
  </si>
  <si>
    <t>DMAX</t>
  </si>
  <si>
    <t>=DMAX('SharedData'!$A$30:$F$50,"Amount",'SharedData'!$H$30:$I$32)</t>
  </si>
  <si>
    <t>function:dmin</t>
  </si>
  <si>
    <t>DMIN</t>
  </si>
  <si>
    <t>=DMIN('SharedData'!$A$30:$F$50,"Amount",'SharedData'!$H$30:$I$32)</t>
  </si>
  <si>
    <t>function:dproduct</t>
  </si>
  <si>
    <t>DPRODUCT</t>
  </si>
  <si>
    <t>=DPRODUCT('SharedData'!$A$30:$F$50,"Amount",'SharedData'!$H$30:$I$32)</t>
  </si>
  <si>
    <t>function:dstdev</t>
  </si>
  <si>
    <t>DSTDEV</t>
  </si>
  <si>
    <t>=DSTDEV('SharedData'!$A$30:$F$50,"Amount",'SharedData'!$H$30:$I$32)</t>
  </si>
  <si>
    <t>function:dstdevp</t>
  </si>
  <si>
    <t>DSTDEVP</t>
  </si>
  <si>
    <t>=DSTDEVP('SharedData'!$A$30:$F$50,"Amount",'SharedData'!$H$30:$I$32)</t>
  </si>
  <si>
    <t>function:dsum</t>
  </si>
  <si>
    <t>DSUM</t>
  </si>
  <si>
    <t>=DSUM('SharedData'!$A$30:$F$50,"Amount",'SharedData'!$H$30:$I$32)</t>
  </si>
  <si>
    <t>function:dvar</t>
  </si>
  <si>
    <t>DVAR</t>
  </si>
  <si>
    <t>=DVAR('SharedData'!$A$30:$F$50,"Amount",'SharedData'!$H$30:$I$32)</t>
  </si>
  <si>
    <t>function:dvarp</t>
  </si>
  <si>
    <t>DVARP</t>
  </si>
  <si>
    <t>=DVARP('SharedData'!$A$30:$F$50,"Amount",'SharedData'!$H$30:$I$32)</t>
  </si>
  <si>
    <t>function:expon-dist</t>
  </si>
  <si>
    <t>EXPON.DIST</t>
  </si>
  <si>
    <t>=EXPON.DIST(0.5,1,TRUE)</t>
  </si>
  <si>
    <t>function:expondist</t>
  </si>
  <si>
    <t>EXPONDIST</t>
  </si>
  <si>
    <t>=EXPONDIST(0.5,1,TRUE)</t>
  </si>
  <si>
    <t>function:f-dist</t>
  </si>
  <si>
    <t>F.DIST</t>
  </si>
  <si>
    <t>=F.DIST(1.5,6,4,TRUE)</t>
  </si>
  <si>
    <t>function:f-dist-rt</t>
  </si>
  <si>
    <t>F.DIST.RT</t>
  </si>
  <si>
    <t>=F.DIST.RT(1.5,6,4)</t>
  </si>
  <si>
    <t>function:f-inv</t>
  </si>
  <si>
    <t>F.INV</t>
  </si>
  <si>
    <t>=F.INV(0.9,6,4)</t>
  </si>
  <si>
    <t>function:f-inv-rt</t>
  </si>
  <si>
    <t>F.INV.RT</t>
  </si>
  <si>
    <t>=F.INV.RT(0.1,6,4)</t>
  </si>
  <si>
    <t>function:f-test</t>
  </si>
  <si>
    <t>F.TEST</t>
  </si>
  <si>
    <t>=F.TEST('SharedData'!$E$6:$E$15,'SharedData'!$F$6:$F$15)</t>
  </si>
  <si>
    <t>function:fdist</t>
  </si>
  <si>
    <t>FDIST</t>
  </si>
  <si>
    <t>=FDIST(1.5,6,4)</t>
  </si>
  <si>
    <t>function:finv</t>
  </si>
  <si>
    <t>FINV</t>
  </si>
  <si>
    <t>=FINV(0.1,6,4)</t>
  </si>
  <si>
    <t>function:fisher</t>
  </si>
  <si>
    <t>FISHER</t>
  </si>
  <si>
    <t>=FISHER(0.75)</t>
  </si>
  <si>
    <t>function:fisherinv</t>
  </si>
  <si>
    <t>FISHERINV</t>
  </si>
  <si>
    <t>=FISHERINV(0.9)</t>
  </si>
  <si>
    <t>function:forecast</t>
  </si>
  <si>
    <t>FORECAST</t>
  </si>
  <si>
    <t>=FORECAST(21,'SharedData'!$J$6:$J$25,'SharedData'!$I$6:$I$25)</t>
  </si>
  <si>
    <t>function:forecast-ets</t>
  </si>
  <si>
    <t>FORECAST.ETS</t>
  </si>
  <si>
    <t>=FORECAST.ETS('SharedData'!$D$25+30,'SharedData'!$E$6:$E$25,'SharedData'!$D$6:$D$25,1,1,1)</t>
  </si>
  <si>
    <t>function:forecast-ets-confint</t>
  </si>
  <si>
    <t>FORECAST.ETS.CONFINT</t>
  </si>
  <si>
    <t>=FORECAST.ETS.CONFINT('SharedData'!$D$25+30,'SharedData'!$E$6:$E$25,'SharedData'!$D$6:$D$25,0.95,1,1,1)</t>
  </si>
  <si>
    <t>function:forecast-ets-seasonality</t>
  </si>
  <si>
    <t>FORECAST.ETS.SEASONALITY</t>
  </si>
  <si>
    <t>=FORECAST.ETS.SEASONALITY('SharedData'!$E$6:$E$25,'SharedData'!$D$6:$D$25,1,1)</t>
  </si>
  <si>
    <t>function:forecast-ets-stat</t>
  </si>
  <si>
    <t>FORECAST.ETS.STAT</t>
  </si>
  <si>
    <t>=FORECAST.ETS.STAT('SharedData'!$E$6:$E$25,'SharedData'!$D$6:$D$25,1,1,1,1)</t>
  </si>
  <si>
    <t>function:forecast-linear</t>
  </si>
  <si>
    <t>FORECAST.LINEAR</t>
  </si>
  <si>
    <t>=FORECAST.LINEAR(21,'SharedData'!$J$6:$J$25,'SharedData'!$I$6:$I$25)</t>
  </si>
  <si>
    <t>function:ftest</t>
  </si>
  <si>
    <t>FTEST</t>
  </si>
  <si>
    <t>=FTEST('SharedData'!$E$6:$E$15,'SharedData'!$F$6:$F$15)</t>
  </si>
  <si>
    <t>function:gamma</t>
  </si>
  <si>
    <t>GAMMA</t>
  </si>
  <si>
    <t>=GAMMA(2.5)</t>
  </si>
  <si>
    <t>function:gamma-dist</t>
  </si>
  <si>
    <t>GAMMA.DIST</t>
  </si>
  <si>
    <t>=GAMMA.DIST(2,3,1.5,TRUE)</t>
  </si>
  <si>
    <t>function:gamma-inv</t>
  </si>
  <si>
    <t>GAMMA.INV</t>
  </si>
  <si>
    <t>=GAMMA.INV(0.7,3,1.5)</t>
  </si>
  <si>
    <t>function:gammadist</t>
  </si>
  <si>
    <t>GAMMADIST</t>
  </si>
  <si>
    <t>=GAMMADIST(2,3,1.5,TRUE)</t>
  </si>
  <si>
    <t>function:gammainv</t>
  </si>
  <si>
    <t>GAMMAINV</t>
  </si>
  <si>
    <t>=GAMMAINV(0.7,3,1.5)</t>
  </si>
  <si>
    <t>function:gammaln</t>
  </si>
  <si>
    <t>GAMMALN</t>
  </si>
  <si>
    <t>=GAMMALN(4.5)</t>
  </si>
  <si>
    <t>function:gammaln-precise</t>
  </si>
  <si>
    <t>GAMMALN.PRECISE</t>
  </si>
  <si>
    <t>=GAMMALN.PRECISE(4.5)</t>
  </si>
  <si>
    <t>function:gauss</t>
  </si>
  <si>
    <t>GAUSS</t>
  </si>
  <si>
    <t>=GAUSS(1.28)</t>
  </si>
  <si>
    <t>function:geomean</t>
  </si>
  <si>
    <t>GEOMEAN</t>
  </si>
  <si>
    <t>=GEOMEAN('SharedData'!$E$6:$E$25)</t>
  </si>
  <si>
    <t>function:harmean</t>
  </si>
  <si>
    <t>HARMEAN</t>
  </si>
  <si>
    <t>=HARMEAN('SharedData'!$E$6:$E$25)</t>
  </si>
  <si>
    <t>function:hypgeom-dist</t>
  </si>
  <si>
    <t>HYPGEOM.DIST</t>
  </si>
  <si>
    <t>=HYPGEOM.DIST(1,4,8,20,TRUE)</t>
  </si>
  <si>
    <t>function:hypgeomdist</t>
  </si>
  <si>
    <t>HYPGEOMDIST</t>
  </si>
  <si>
    <t>=HYPGEOMDIST(1,4,8,20)</t>
  </si>
  <si>
    <t>function:intercept</t>
  </si>
  <si>
    <t>INTERCEPT</t>
  </si>
  <si>
    <t>=INTERCEPT('SharedData'!$J$6:$J$25,'SharedData'!$I$6:$I$25)</t>
  </si>
  <si>
    <t>function:kurt</t>
  </si>
  <si>
    <t>KURT</t>
  </si>
  <si>
    <t>=KURT('SharedData'!$E$6:$E$25)</t>
  </si>
  <si>
    <t>function:large</t>
  </si>
  <si>
    <t>LARGE</t>
  </si>
  <si>
    <t>=LARGE('SharedData'!$E$6:$E$25,3)</t>
  </si>
  <si>
    <t>function:max</t>
  </si>
  <si>
    <t>MAX</t>
  </si>
  <si>
    <t>=MAX('SharedData'!$E$6:$E$25)</t>
  </si>
  <si>
    <t>function:maxa</t>
  </si>
  <si>
    <t>MAXA</t>
  </si>
  <si>
    <t>=MAXA('SharedData'!$E$6:$E$25)</t>
  </si>
  <si>
    <t>function:maxifs</t>
  </si>
  <si>
    <t>MAXIFS</t>
  </si>
  <si>
    <t>=MAXIFS('SharedData'!$E$6:$E$25,'SharedData'!$C$6:$C$25,"A")</t>
  </si>
  <si>
    <t>function:median</t>
  </si>
  <si>
    <t>MEDIAN</t>
  </si>
  <si>
    <t>=MEDIAN('SharedData'!$E$6:$E$25)</t>
  </si>
  <si>
    <t>function:min</t>
  </si>
  <si>
    <t>MIN</t>
  </si>
  <si>
    <t>=MIN('SharedData'!$E$6:$E$25)</t>
  </si>
  <si>
    <t>function:mina</t>
  </si>
  <si>
    <t>MINA</t>
  </si>
  <si>
    <t>=MINA('SharedData'!$E$6:$E$25)</t>
  </si>
  <si>
    <t>function:minifs</t>
  </si>
  <si>
    <t>MINIFS</t>
  </si>
  <si>
    <t>=MINIFS('SharedData'!$E$6:$E$25,'SharedData'!$C$6:$C$25,"A")</t>
  </si>
  <si>
    <t>function:mode</t>
  </si>
  <si>
    <t>MODE</t>
  </si>
  <si>
    <t>=MODE({1,2,2,3,4})</t>
  </si>
  <si>
    <t>function:mode-sngl</t>
  </si>
  <si>
    <t>MODE.SNGL</t>
  </si>
  <si>
    <t>=MODE.SNGL({1,2,2,3,4})</t>
  </si>
  <si>
    <t>function:negbinom-dist</t>
  </si>
  <si>
    <t>NEGBINOM.DIST</t>
  </si>
  <si>
    <t>=NEGBINOM.DIST(6,4,0.4,TRUE)</t>
  </si>
  <si>
    <t>function:negbinomdist</t>
  </si>
  <si>
    <t>NEGBINOMDIST</t>
  </si>
  <si>
    <t>=NEGBINOMDIST(6,4,0.4)</t>
  </si>
  <si>
    <t>function:norm-dist</t>
  </si>
  <si>
    <t>NORM.DIST</t>
  </si>
  <si>
    <t>=NORM.DIST(105,100,12,TRUE)</t>
  </si>
  <si>
    <t>function:norm-inv</t>
  </si>
  <si>
    <t>NORM.INV</t>
  </si>
  <si>
    <t>=NORM.INV(0.66,100,12)</t>
  </si>
  <si>
    <t>function:norm-s-dist</t>
  </si>
  <si>
    <t>NORM.S.DIST</t>
  </si>
  <si>
    <t>=NORM.S.DIST(0.75,TRUE)</t>
  </si>
  <si>
    <t>function:norm-s-inv</t>
  </si>
  <si>
    <t>NORM.S.INV</t>
  </si>
  <si>
    <t>=NORM.S.INV(0.9)</t>
  </si>
  <si>
    <t>function:normdist</t>
  </si>
  <si>
    <t>NORMDIST</t>
  </si>
  <si>
    <t>=NORMDIST(105,100,12,TRUE)</t>
  </si>
  <si>
    <t>function:norminv</t>
  </si>
  <si>
    <t>NORMINV</t>
  </si>
  <si>
    <t>=NORMINV(0.66,100,12)</t>
  </si>
  <si>
    <t>function:normsdist</t>
  </si>
  <si>
    <t>NORMSDIST</t>
  </si>
  <si>
    <t>=NORMSDIST(1.28)</t>
  </si>
  <si>
    <t>function:normsinv</t>
  </si>
  <si>
    <t>NORMSINV</t>
  </si>
  <si>
    <t>=NORMSINV(0.9)</t>
  </si>
  <si>
    <t>function:pearson</t>
  </si>
  <si>
    <t>PEARSON</t>
  </si>
  <si>
    <t>=PEARSON('SharedData'!$E$6:$E$25,'SharedData'!$F$6:$F$25)</t>
  </si>
  <si>
    <t>function:percentile</t>
  </si>
  <si>
    <t>PERCENTILE</t>
  </si>
  <si>
    <t>=PERCENTILE('SharedData'!$E$6:$E$25,0.75)</t>
  </si>
  <si>
    <t>function:percentile-exc</t>
  </si>
  <si>
    <t>PERCENTILE.EXC</t>
  </si>
  <si>
    <t>=PERCENTILE.EXC('SharedData'!$E$6:$E$25,0.75)</t>
  </si>
  <si>
    <t>function:percentile-inc</t>
  </si>
  <si>
    <t>PERCENTILE.INC</t>
  </si>
  <si>
    <t>=PERCENTILE.INC('SharedData'!$E$6:$E$25,0.75)</t>
  </si>
  <si>
    <t>function:percentrank</t>
  </si>
  <si>
    <t>PERCENTRANK</t>
  </si>
  <si>
    <t>=PERCENTRANK('SharedData'!$E$6:$E$25,100)</t>
  </si>
  <si>
    <t>function:percentrank-exc</t>
  </si>
  <si>
    <t>PERCENTRANK.EXC</t>
  </si>
  <si>
    <t>=PERCENTRANK.EXC('SharedData'!$E$6:$E$25,100)</t>
  </si>
  <si>
    <t>function:percentrank-inc</t>
  </si>
  <si>
    <t>PERCENTRANK.INC</t>
  </si>
  <si>
    <t>=PERCENTRANK.INC('SharedData'!$E$6:$E$25,100)</t>
  </si>
  <si>
    <t>function:phi</t>
  </si>
  <si>
    <t>PHI</t>
  </si>
  <si>
    <t>=PHI(0.75)</t>
  </si>
  <si>
    <t>function:poisson</t>
  </si>
  <si>
    <t>POISSON</t>
  </si>
  <si>
    <t>=POISSON(3,4,TRUE)</t>
  </si>
  <si>
    <t>function:poisson-dist</t>
  </si>
  <si>
    <t>POISSON.DIST</t>
  </si>
  <si>
    <t>=POISSON.DIST(3,4,TRUE)</t>
  </si>
  <si>
    <t>function:prob</t>
  </si>
  <si>
    <t>PROB</t>
  </si>
  <si>
    <t>=PROB({1,2,3,4},{0.1,0.2,0.3,0.4},2,4)</t>
  </si>
  <si>
    <t>function:quartile</t>
  </si>
  <si>
    <t>QUARTILE</t>
  </si>
  <si>
    <t>=QUARTILE('SharedData'!$E$6:$E$25,3)</t>
  </si>
  <si>
    <t>function:quartile-exc</t>
  </si>
  <si>
    <t>QUARTILE.EXC</t>
  </si>
  <si>
    <t>=QUARTILE.EXC('SharedData'!$E$6:$E$25,3)</t>
  </si>
  <si>
    <t>function:quartile-inc</t>
  </si>
  <si>
    <t>QUARTILE.INC</t>
  </si>
  <si>
    <t>=QUARTILE.INC('SharedData'!$E$6:$E$25,3)</t>
  </si>
  <si>
    <t>function:rank</t>
  </si>
  <si>
    <t>RANK</t>
  </si>
  <si>
    <t>=RANK('SharedData'!$E$10,'SharedData'!$E$6:$E$25,0)</t>
  </si>
  <si>
    <t>function:rank-avg</t>
  </si>
  <si>
    <t>RANK.AVG</t>
  </si>
  <si>
    <t>=RANK.AVG('SharedData'!$E$10,'SharedData'!$E$6:$E$25,0)</t>
  </si>
  <si>
    <t>function:rank-eq</t>
  </si>
  <si>
    <t>RANK.EQ</t>
  </si>
  <si>
    <t>=RANK.EQ('SharedData'!$E$10,'SharedData'!$E$6:$E$25,0)</t>
  </si>
  <si>
    <t>function:rsq</t>
  </si>
  <si>
    <t>RSQ</t>
  </si>
  <si>
    <t>=RSQ('SharedData'!$E$6:$E$25,'SharedData'!$F$6:$F$25)</t>
  </si>
  <si>
    <t>function:skew</t>
  </si>
  <si>
    <t>SKEW</t>
  </si>
  <si>
    <t>=SKEW('SharedData'!$E$6:$E$25)</t>
  </si>
  <si>
    <t>function:skew-p</t>
  </si>
  <si>
    <t>SKEW.P</t>
  </si>
  <si>
    <t>=SKEW.P('SharedData'!$E$6:$E$25)</t>
  </si>
  <si>
    <t>function:slope</t>
  </si>
  <si>
    <t>SLOPE</t>
  </si>
  <si>
    <t>=SLOPE('SharedData'!$E$6:$E$25,'SharedData'!$F$6:$F$25)</t>
  </si>
  <si>
    <t>function:small</t>
  </si>
  <si>
    <t>SMALL</t>
  </si>
  <si>
    <t>=SMALL('SharedData'!$E$6:$E$25,3)</t>
  </si>
  <si>
    <t>function:standardize</t>
  </si>
  <si>
    <t>STANDARDIZE</t>
  </si>
  <si>
    <t>=STANDARDIZE(105,100,12)</t>
  </si>
  <si>
    <t>function:stdev</t>
  </si>
  <si>
    <t>STDEV</t>
  </si>
  <si>
    <t>=STDEV('SharedData'!$E$6:$E$25)</t>
  </si>
  <si>
    <t>function:stdev-p</t>
  </si>
  <si>
    <t>STDEV.P</t>
  </si>
  <si>
    <t>=STDEV.P('SharedData'!$E$6:$E$25)</t>
  </si>
  <si>
    <t>function:stdev-s</t>
  </si>
  <si>
    <t>STDEV.S</t>
  </si>
  <si>
    <t>=STDEV.S('SharedData'!$E$6:$E$25)</t>
  </si>
  <si>
    <t>function:stdeva</t>
  </si>
  <si>
    <t>STDEVA</t>
  </si>
  <si>
    <t>=STDEVA('SharedData'!$E$6:$E$25)</t>
  </si>
  <si>
    <t>function:stdevp</t>
  </si>
  <si>
    <t>STDEVP</t>
  </si>
  <si>
    <t>=STDEVP('SharedData'!$E$6:$E$25)</t>
  </si>
  <si>
    <t>function:stdevpa</t>
  </si>
  <si>
    <t>STDEVPA</t>
  </si>
  <si>
    <t>=STDEVPA('SharedData'!$E$6:$E$25)</t>
  </si>
  <si>
    <t>function:steyx</t>
  </si>
  <si>
    <t>STEYX</t>
  </si>
  <si>
    <t>=STEYX('SharedData'!$E$6:$E$25,'SharedData'!$F$6:$F$25)</t>
  </si>
  <si>
    <t>function:t-dist</t>
  </si>
  <si>
    <t>T.DIST</t>
  </si>
  <si>
    <t>=T.DIST(1.8,12,TRUE)</t>
  </si>
  <si>
    <t>function:t-dist-2t</t>
  </si>
  <si>
    <t>T.DIST.2T</t>
  </si>
  <si>
    <t>=T.DIST.2T(1.8,12)</t>
  </si>
  <si>
    <t>function:t-dist-rt</t>
  </si>
  <si>
    <t>T.DIST.RT</t>
  </si>
  <si>
    <t>=T.DIST.RT(1.8,12)</t>
  </si>
  <si>
    <t>function:t-inv</t>
  </si>
  <si>
    <t>T.INV</t>
  </si>
  <si>
    <t>=T.INV(0.9,12)</t>
  </si>
  <si>
    <t>function:t-inv-2t</t>
  </si>
  <si>
    <t>T.INV.2T</t>
  </si>
  <si>
    <t>=T.INV.2T(0.1,12)</t>
  </si>
  <si>
    <t>function:t-test</t>
  </si>
  <si>
    <t>T.TEST</t>
  </si>
  <si>
    <t>=T.TEST('SharedData'!$E$6:$E$15,'SharedData'!$E$16:$E$25,2,1)</t>
  </si>
  <si>
    <t>function:tdist</t>
  </si>
  <si>
    <t>TDIST</t>
  </si>
  <si>
    <t>=TDIST(1.8,12,2)</t>
  </si>
  <si>
    <t>function:tinv</t>
  </si>
  <si>
    <t>TINV</t>
  </si>
  <si>
    <t>=TINV(0.1,12)</t>
  </si>
  <si>
    <t>function:trimmean</t>
  </si>
  <si>
    <t>TRIMMEAN</t>
  </si>
  <si>
    <t>=TRIMMEAN('SharedData'!$E$6:$E$25,0.2)</t>
  </si>
  <si>
    <t>function:ttest</t>
  </si>
  <si>
    <t>TTEST</t>
  </si>
  <si>
    <t>=TTEST('SharedData'!$E$6:$E$15,'SharedData'!$E$16:$E$25,2,1)</t>
  </si>
  <si>
    <t>function:var</t>
  </si>
  <si>
    <t>VAR</t>
  </si>
  <si>
    <t>=VAR('SharedData'!$E$6:$E$25)</t>
  </si>
  <si>
    <t>function:var-p</t>
  </si>
  <si>
    <t>VAR.P</t>
  </si>
  <si>
    <t>=VAR.P('SharedData'!$E$6:$E$25)</t>
  </si>
  <si>
    <t>function:var-s</t>
  </si>
  <si>
    <t>VAR.S</t>
  </si>
  <si>
    <t>=VAR.S('SharedData'!$E$6:$E$25)</t>
  </si>
  <si>
    <t>function:vara</t>
  </si>
  <si>
    <t>VARA</t>
  </si>
  <si>
    <t>=VARA('SharedData'!$E$6:$E$25)</t>
  </si>
  <si>
    <t>function:varp</t>
  </si>
  <si>
    <t>VARP</t>
  </si>
  <si>
    <t>=VARP('SharedData'!$E$6:$E$25)</t>
  </si>
  <si>
    <t>function:varpa</t>
  </si>
  <si>
    <t>VARPA</t>
  </si>
  <si>
    <t>=VARPA('SharedData'!$E$6:$E$25)</t>
  </si>
  <si>
    <t>function:weibull</t>
  </si>
  <si>
    <t>WEIBULL</t>
  </si>
  <si>
    <t>=WEIBULL(105,20,100,TRUE)</t>
  </si>
  <si>
    <t>function:weibull-dist</t>
  </si>
  <si>
    <t>WEIBULL.DIST</t>
  </si>
  <si>
    <t>=WEIBULL.DIST(105,20,100,TRUE)</t>
  </si>
  <si>
    <t>function:z-test</t>
  </si>
  <si>
    <t>Z.TEST</t>
  </si>
  <si>
    <t>=Z.TEST('SharedData'!$E$6:$E$25,100)</t>
  </si>
  <si>
    <t>function:ztest</t>
  </si>
  <si>
    <t>ZTEST</t>
  </si>
  <si>
    <t>=ZTEST('SharedData'!$E$6:$E$25,100)</t>
  </si>
  <si>
    <t>curated:aggregates:c001</t>
  </si>
  <si>
    <t>curated:aggregates:c002</t>
  </si>
  <si>
    <t>=SUMPRODUCT('SharedData'!$E$6:$E$25)</t>
  </si>
  <si>
    <t>curated:aggregates:c003</t>
  </si>
  <si>
    <t>=SUBTOTAL(9,'SharedData'!$E$6:$E$25)</t>
  </si>
  <si>
    <t>curated:aggregates:c004</t>
  </si>
  <si>
    <t>curated:aggregates:c006</t>
  </si>
  <si>
    <t>=SUMSQ('SharedData'!$E$6:$E$25)</t>
  </si>
  <si>
    <t>curated:aggregates:c009</t>
  </si>
  <si>
    <t>curated:aggregates:c010</t>
  </si>
  <si>
    <t>=SUMIFS('SharedData'!$E$6:$E$25,'SharedData'!$C$6:$C$25,"A",'SharedData'!$D$6:$D$25,"&gt;="&amp;DATE(2020,1,1))</t>
  </si>
  <si>
    <t>curated:aggregates:c012</t>
  </si>
  <si>
    <t>=AVERAGEIFS('SharedData'!$E$6:$E$25,'SharedData'!$G$6:$G$25,TRUE,'SharedData'!$F$6:$F$25,"&gt;5")</t>
  </si>
  <si>
    <t>curated:aggregates:c013</t>
  </si>
  <si>
    <t>=SUM('SharedData'!$O$40:$O$45)</t>
  </si>
  <si>
    <t>curated:aggregates:c014</t>
  </si>
  <si>
    <t>=AVERAGE('SharedData'!$O$40:$O$45)</t>
  </si>
  <si>
    <t>curated:aggregates:c015</t>
  </si>
  <si>
    <t>=COUNT('SharedData'!$O$40:$O$45)</t>
  </si>
  <si>
    <t>curated:aggregates:c016</t>
  </si>
  <si>
    <t>=MAX('SharedData'!$O$40:$O$45)</t>
  </si>
  <si>
    <t>curated:aggregates:c017</t>
  </si>
  <si>
    <t>=MIN('SharedData'!$O$40:$O$45)</t>
  </si>
  <si>
    <t>curated:aggregates:c018</t>
  </si>
  <si>
    <t>=SUBTOTAL(109,'SharedData'!$O$40:$O$45)</t>
  </si>
  <si>
    <t>curated:aggregates:c019</t>
  </si>
  <si>
    <t>=SUMPRODUCT('SharedData'!$O$40:$O$45)</t>
  </si>
  <si>
    <t>curated:aggregates:c020</t>
  </si>
  <si>
    <t>=SUM('SharedData'!$H$6:$H$25)</t>
  </si>
  <si>
    <t>curated:aggregates:c021</t>
  </si>
  <si>
    <t>=AVERAGE('SharedData'!$H$6:$H$25)</t>
  </si>
  <si>
    <t>curated:aggregates:c022</t>
  </si>
  <si>
    <t>=COUNT('SharedData'!$H$6:$H$25)</t>
  </si>
  <si>
    <t>curated:aggregates:c023</t>
  </si>
  <si>
    <t>=COUNTA('SharedData'!$H$6:$H$25)</t>
  </si>
  <si>
    <t>curated:aggregates:c024</t>
  </si>
  <si>
    <t>=MAX('SharedData'!$H$6:$H$25)</t>
  </si>
  <si>
    <t>curated:aggregates:c025</t>
  </si>
  <si>
    <t>=SUM(1,TRUE,"2")</t>
  </si>
  <si>
    <t>curated:aggregates:c026</t>
  </si>
  <si>
    <t>=AVERAGE(1,TRUE,"2")</t>
  </si>
  <si>
    <t>curated:aggregates:c027</t>
  </si>
  <si>
    <t>=SUMPRODUCT(("SharedData"&lt;&gt;"")*1)</t>
  </si>
  <si>
    <t>curated:aggregates:c028</t>
  </si>
  <si>
    <t>=AGGREGATE(14,6,'SharedData'!$E$6:$E$25,3)</t>
  </si>
  <si>
    <t>curated:aggregates:c030</t>
  </si>
  <si>
    <t>=CORREL('SharedData'!$I$6:$I$25,'SharedData'!$J$6:$J$25)^2-RSQ('SharedData'!$J$6:$J$25,'SharedData'!$I$6:$I$25)</t>
  </si>
  <si>
    <t>ArraysCSE — CellRune Excel Oracle</t>
  </si>
  <si>
    <t>curated:arrayscse:c001</t>
  </si>
  <si>
    <t>=SUM(IF('SharedData'!$C$6:$C$25="A",'SharedData'!$E$6:$E$25,0))</t>
  </si>
  <si>
    <t>curated:arrayscse:c002</t>
  </si>
  <si>
    <t>=SUM(IF('SharedData'!$G$6:$G$25,'SharedData'!$E$6:$E$25*'SharedData'!$F$6:$F$25,0))</t>
  </si>
  <si>
    <t>curated:arrayscse:c003</t>
  </si>
  <si>
    <t>=IF({1,0,1;0,1,0;1,1,0},{10,20,30;40,50,60;70,80,90},NA())</t>
  </si>
  <si>
    <t>curated:arrayscse:c004</t>
  </si>
  <si>
    <t>={1,2,3}*{1;10;100}</t>
  </si>
  <si>
    <t>curated:arrayscse:c005</t>
  </si>
  <si>
    <t>={1,2,3,4}*{1;2;3}</t>
  </si>
  <si>
    <t>curated:arrayscse:c006</t>
  </si>
  <si>
    <t>=IF({TRUE,FALSE;FALSE,TRUE},{"text",2;TRUE,45351},NA())</t>
  </si>
  <si>
    <t>curated:arrayscse:c007</t>
  </si>
  <si>
    <t>={1,2,3}+{1,2}</t>
  </si>
  <si>
    <t>curated:arrayscse:c008</t>
  </si>
  <si>
    <t>={10,20}</t>
  </si>
  <si>
    <t>curated:arrayscse:c009</t>
  </si>
  <si>
    <t>={1,2;3,4}+{10,20,30;40,50,60}</t>
  </si>
  <si>
    <t>curated:arrayscse:c010</t>
  </si>
  <si>
    <t>=MMULT({1,2,3;4,5,6},{7,8;9,10;11,12})</t>
  </si>
  <si>
    <t>curated:arrayscse:c011</t>
  </si>
  <si>
    <t>=TRANSPOSE('SharedData'!$A$6:$C$8)</t>
  </si>
  <si>
    <t>curated:arrayscse:c012</t>
  </si>
  <si>
    <t>=SUM(IF(ISNUMBER('SharedData'!$A$6:$H$25),'SharedData'!$A$6:$H$25,0))</t>
  </si>
  <si>
    <t>curated:arrayscse:c013</t>
  </si>
  <si>
    <t>=SUM(IF('SharedData'!$H$6:$H$25="text",1,0))</t>
  </si>
  <si>
    <t>curated:arrayscse:c014</t>
  </si>
  <si>
    <t>=INDEX('SharedData'!$A$6:$F$25,{1;5;10},{1,3,5})</t>
  </si>
  <si>
    <t>curated:arrayscse:c015</t>
  </si>
  <si>
    <t>=IF({1,0,1,0,1},'SharedData'!$E$6:$E$10,'SharedData'!$B$6:$B$10)</t>
  </si>
  <si>
    <t>curated:arrayscse:c016</t>
  </si>
  <si>
    <t>=SUM({1,2,3}*{1;10;100})</t>
  </si>
  <si>
    <t>ArraysDynamic — CellRune Excel Oracle</t>
  </si>
  <si>
    <t>function:bycol</t>
  </si>
  <si>
    <t>Dynamic array / Lambda</t>
  </si>
  <si>
    <t>BYCOL</t>
  </si>
  <si>
    <t>=BYCOL('SharedData'!$E$6:$F$10,LAMBDA(col,SUM(col)))</t>
  </si>
  <si>
    <t>function:byrow</t>
  </si>
  <si>
    <t>BYROW</t>
  </si>
  <si>
    <t>=BYROW('SharedData'!$E$6:$F$10,LAMBDA(row,SUM(row)))</t>
  </si>
  <si>
    <t>function:choosecols</t>
  </si>
  <si>
    <t>CHOOSECOLS</t>
  </si>
  <si>
    <t>=CHOOSECOLS('SharedData'!$A$6:$F$10,1,3,5)</t>
  </si>
  <si>
    <t>function:chooserows</t>
  </si>
  <si>
    <t>CHOOSEROWS</t>
  </si>
  <si>
    <t>=CHOOSEROWS('SharedData'!$A$6:$F$10,1,3,5)</t>
  </si>
  <si>
    <t>function:drop</t>
  </si>
  <si>
    <t>DROP</t>
  </si>
  <si>
    <t>=DROP('SharedData'!$A$6:$F$15,2,1)</t>
  </si>
  <si>
    <t>function:expand</t>
  </si>
  <si>
    <t>EXPAND</t>
  </si>
  <si>
    <t>=EXPAND('SharedData'!$A$6:$B$8,5,4,"pad")</t>
  </si>
  <si>
    <t>function:filter</t>
  </si>
  <si>
    <t>FILTER</t>
  </si>
  <si>
    <t>=FILTER('SharedData'!$A$6:$E$25,'SharedData'!$C$6:$C$25="A","none")</t>
  </si>
  <si>
    <t>function:frequency</t>
  </si>
  <si>
    <t>FREQUENCY</t>
  </si>
  <si>
    <t>=FREQUENCY('SharedData'!$E$6:$E$25,{50,100,150})</t>
  </si>
  <si>
    <t>function:groupby</t>
  </si>
  <si>
    <t>GROUPBY</t>
  </si>
  <si>
    <t>=GROUPBY('SharedData'!$C$6:$C$25,'SharedData'!$E$6:$E$25,SUM)</t>
  </si>
  <si>
    <t>function:growth</t>
  </si>
  <si>
    <t>GROWTH</t>
  </si>
  <si>
    <t>=GROWTH('SharedData'!$J$6:$J$15,'SharedData'!$I$6:$I$15,{21,22,23})</t>
  </si>
  <si>
    <t>function:hstack</t>
  </si>
  <si>
    <t>HSTACK</t>
  </si>
  <si>
    <t>=HSTACK('SharedData'!$A$6:$A$10,'SharedData'!$E$6:$E$10)</t>
  </si>
  <si>
    <t>function:lambda</t>
  </si>
  <si>
    <t>LAMBDA</t>
  </si>
  <si>
    <t>=LAMBDA(x,x^2+1)(5)</t>
  </si>
  <si>
    <t>function:let</t>
  </si>
  <si>
    <t>LET</t>
  </si>
  <si>
    <t>=LET(x,SUM('SharedData'!$E$6:$E$25),y,AVERAGE('SharedData'!$F$6:$F$25),x/y)</t>
  </si>
  <si>
    <t>function:linest</t>
  </si>
  <si>
    <t>LINEST</t>
  </si>
  <si>
    <t>=LINEST('SharedData'!$J$6:$J$25,'SharedData'!$I$6:$I$25,TRUE,TRUE)</t>
  </si>
  <si>
    <t>function:logest</t>
  </si>
  <si>
    <t>LOGEST</t>
  </si>
  <si>
    <t>=LOGEST('SharedData'!$J$6:$J$15,'SharedData'!$I$6:$I$15,TRUE,TRUE)</t>
  </si>
  <si>
    <t>function:makearray</t>
  </si>
  <si>
    <t>MAKEARRAY</t>
  </si>
  <si>
    <t>=MAKEARRAY(4,4,LAMBDA(i,j,i*100+j))</t>
  </si>
  <si>
    <t>function:map</t>
  </si>
  <si>
    <t>MAP</t>
  </si>
  <si>
    <t>=MAP('SharedData'!$E$6:$E$10,LAMBDA(x,x*1.1))</t>
  </si>
  <si>
    <t>function:minverse</t>
  </si>
  <si>
    <t>MINVERSE</t>
  </si>
  <si>
    <t>=MINVERSE({4,7;2,6})</t>
  </si>
  <si>
    <t>function:mmult</t>
  </si>
  <si>
    <t>MMULT</t>
  </si>
  <si>
    <t>=MMULT({1,2;3,4},{5,6;7,8})</t>
  </si>
  <si>
    <t>function:mode-mult</t>
  </si>
  <si>
    <t>MODE.MULT</t>
  </si>
  <si>
    <t>=MODE.MULT({1,1,2,2,3,4})</t>
  </si>
  <si>
    <t>function:munit</t>
  </si>
  <si>
    <t>MUNIT</t>
  </si>
  <si>
    <t>=MUNIT(4)</t>
  </si>
  <si>
    <t>function:pivotby</t>
  </si>
  <si>
    <t>PIVOTBY</t>
  </si>
  <si>
    <t>=PIVOTBY('SharedData'!$C$6:$C$25,'SharedData'!$G$6:$G$25,'SharedData'!$E$6:$E$25,SUM)</t>
  </si>
  <si>
    <t>function:reduce</t>
  </si>
  <si>
    <t>REDUCE</t>
  </si>
  <si>
    <t>=REDUCE(0,'SharedData'!$E$6:$E$10,LAMBDA(a,v,a+v))</t>
  </si>
  <si>
    <t>function:scan</t>
  </si>
  <si>
    <t>SCAN</t>
  </si>
  <si>
    <t>=SCAN(0,'SharedData'!$E$6:$E$10,LAMBDA(a,v,a+v))</t>
  </si>
  <si>
    <t>function:sequence</t>
  </si>
  <si>
    <t>SEQUENCE</t>
  </si>
  <si>
    <t>=SEQUENCE(5,4,10,5)</t>
  </si>
  <si>
    <t>function:sort</t>
  </si>
  <si>
    <t>SORT</t>
  </si>
  <si>
    <t>=SORT('SharedData'!$A$6:$E$25,5,-1,FALSE)</t>
  </si>
  <si>
    <t>function:sortby</t>
  </si>
  <si>
    <t>SORTBY</t>
  </si>
  <si>
    <t>=SORTBY('SharedData'!$A$6:$E$25,'SharedData'!$E$6:$E$25,-1)</t>
  </si>
  <si>
    <t>function:take</t>
  </si>
  <si>
    <t>TAKE</t>
  </si>
  <si>
    <t>=TAKE('SharedData'!$A$6:$F$25,5,4)</t>
  </si>
  <si>
    <t>function:tocol</t>
  </si>
  <si>
    <t>TOCOL</t>
  </si>
  <si>
    <t>=TOCOL('SharedData'!$A$6:$C$10,1,FALSE)</t>
  </si>
  <si>
    <t>function:torow</t>
  </si>
  <si>
    <t>TOROW</t>
  </si>
  <si>
    <t>=TOROW('SharedData'!$A$6:$C$10,1,FALSE)</t>
  </si>
  <si>
    <t>function:transpose</t>
  </si>
  <si>
    <t>TRANSPOSE</t>
  </si>
  <si>
    <t>=TRANSPOSE('SharedData'!$A$6:$C$10)</t>
  </si>
  <si>
    <t>function:trend</t>
  </si>
  <si>
    <t>TREND</t>
  </si>
  <si>
    <t>=TREND('SharedData'!$J$6:$J$15,'SharedData'!$I$6:$I$15,{21,22,23})</t>
  </si>
  <si>
    <t>function:trimrange</t>
  </si>
  <si>
    <t>TRIMRANGE</t>
  </si>
  <si>
    <t>=TRIMRANGE('SharedData'!$H$5:$J$27)</t>
  </si>
  <si>
    <t>function:unique</t>
  </si>
  <si>
    <t>UNIQUE</t>
  </si>
  <si>
    <t>=UNIQUE('SharedData'!$C$6:$C$25,FALSE,FALSE)</t>
  </si>
  <si>
    <t>function:vstack</t>
  </si>
  <si>
    <t>VSTACK</t>
  </si>
  <si>
    <t>=VSTACK('SharedData'!$A$6:$C$8,'SharedData'!$A$12:$C$14)</t>
  </si>
  <si>
    <t>function:wrapcols</t>
  </si>
  <si>
    <t>WRAPCOLS</t>
  </si>
  <si>
    <t>=WRAPCOLS('SharedData'!$E$6:$E$15,4,"pad")</t>
  </si>
  <si>
    <t>function:wraprows</t>
  </si>
  <si>
    <t>WRAPROWS</t>
  </si>
  <si>
    <t>=WRAPROWS('SharedData'!$E$6:$E$15,4,"pad")</t>
  </si>
  <si>
    <t>curated:arraysdynamic:c001</t>
  </si>
  <si>
    <t>=FILTER('SharedData'!$A$6:$F$25,('SharedData'!$C$6:$C$25="A")*('SharedData'!$E$6:$E$25&gt;50),"none")</t>
  </si>
  <si>
    <t>curated:arraysdynamic:c002</t>
  </si>
  <si>
    <t>=FILTER('SharedData'!$E$6:$E$25,'SharedData'!$E$6:$E$25&gt;100000,"none")</t>
  </si>
  <si>
    <t>curated:arraysdynamic:c003</t>
  </si>
  <si>
    <t>=SORTBY(UNIQUE('SharedData'!$A$6:$C$25),'SharedData'!$A$6:$A$25,1)</t>
  </si>
  <si>
    <t>curated:arraysdynamic:c004</t>
  </si>
  <si>
    <t>=UNIQUE('SharedData'!$C$6:$C$25)</t>
  </si>
  <si>
    <t>curated:arraysdynamic:c005</t>
  </si>
  <si>
    <t>=SORT('SharedData'!$E$6:$E$25,1,-1)</t>
  </si>
  <si>
    <t>curated:arraysdynamic:c006</t>
  </si>
  <si>
    <t>=SEQUENCE(3,4)</t>
  </si>
  <si>
    <t>curated:arraysdynamic:c007</t>
  </si>
  <si>
    <t>=LET(data,'SharedData'!$E$6:$E$25,FILTER(data,data&gt;AVERAGE(data)))</t>
  </si>
  <si>
    <t>let:lexical-shadow:nested-same-name</t>
  </si>
  <si>
    <t>Nested LET bindings lexically shadow the same local name</t>
  </si>
  <si>
    <t>=LET(x,2,LET(x,3,x)+x)</t>
  </si>
  <si>
    <t>let:lexical-shadow:defined-name</t>
  </si>
  <si>
    <t>A LET binding shadows a workbook-scoped defined name</t>
  </si>
  <si>
    <t>=LET(InputAmounts,42,InputAmounts)</t>
  </si>
  <si>
    <t>let:error-propagation:bound-expression</t>
  </si>
  <si>
    <t>An error produced by a bound value reaches the final expression</t>
  </si>
  <si>
    <t>=LET(x,1/0,x)</t>
  </si>
  <si>
    <t>let:decimal-trace:scalar-cancellation</t>
  </si>
  <si>
    <t>Scalar decimal cancellation crosses a LET binding</t>
  </si>
  <si>
    <t>=LET(x,0.1+0.2,x-0.3)</t>
  </si>
  <si>
    <t>let:decimal-trace:array-cancellation</t>
  </si>
  <si>
    <t>Per-element decimal traces cross an array-valued LET binding</t>
  </si>
  <si>
    <t>=SUM(LET(x,{0.1,0.2}+{0.2,0.1},x))-0.6</t>
  </si>
  <si>
    <t>curated:arraysdynamic:c014</t>
  </si>
  <si>
    <t>=MAP('SharedData'!$E$6:$E$10,'SharedData'!$F$6:$F$10,LAMBDA(a,b,a*b))</t>
  </si>
  <si>
    <t>map:decimal-trace:scalar-cancellation</t>
  </si>
  <si>
    <t>Decimal cancellation crosses a MAP parameter and body result</t>
  </si>
  <si>
    <t>=SUM(MAP({0.1},LAMBDA(x,x+0.2-0.3)))</t>
  </si>
  <si>
    <t>curated:arraysdynamic:c016</t>
  </si>
  <si>
    <t>=BYROW('SharedData'!$E$6:$F$15,LAMBDA(row,SUM(row)))</t>
  </si>
  <si>
    <t>curated:arraysdynamic:c018</t>
  </si>
  <si>
    <t>=SCAN(0,'SharedData'!$A$6:$A$15,LAMBDA(a,v,a+v))</t>
  </si>
  <si>
    <t>curated:arraysdynamic:c020</t>
  </si>
  <si>
    <t>=MAKEARRAY(5,5,LAMBDA(i,j,INDEX('SharedData'!$E$6:$E$25,MOD(i*j-1,20)+1)))</t>
  </si>
  <si>
    <t>curated:arraysdynamic:c021</t>
  </si>
  <si>
    <t>=HSTACK(SEQUENCE(6),VSTACK('SharedData'!$B$6:$B$8,'SharedData'!$B$12:$B$14))</t>
  </si>
  <si>
    <t>curated:arraysdynamic:c022</t>
  </si>
  <si>
    <t>=TAKE(DROP(SORT('SharedData'!$A$6:$F$25,5,-1),2),5,4)</t>
  </si>
  <si>
    <t>curated:arraysdynamic:c023</t>
  </si>
  <si>
    <t>=TOCOL(WRAPROWS('SharedData'!$E$6:$E$15,5),1,FALSE)</t>
  </si>
  <si>
    <t>curated:arraysdynamic:c024</t>
  </si>
  <si>
    <t>=SUM('SharedData'!$P$2#)</t>
  </si>
  <si>
    <t>curated:arraysdynamic:c025</t>
  </si>
  <si>
    <t>=ROWS('SharedData'!$P$2#)</t>
  </si>
  <si>
    <t>curated:arraysdynamic:c026</t>
  </si>
  <si>
    <t>=INDEX('SharedData'!$P$2#,3)</t>
  </si>
  <si>
    <t>curated:arraysdynamic:c027</t>
  </si>
  <si>
    <t>='SharedData'!$P$2#</t>
  </si>
  <si>
    <t>curated:arraysdynamic:c028</t>
  </si>
  <si>
    <t>='SharedData'!$R$2</t>
  </si>
  <si>
    <t>curated:arraysdynamic:c029</t>
  </si>
  <si>
    <t>=ISERROR('SharedData'!$R$2)</t>
  </si>
  <si>
    <t>curated:arraysdynamic:c030</t>
  </si>
  <si>
    <t>=ERROR.TYPE('SharedData'!$R$2)</t>
  </si>
  <si>
    <t>curated:arraysdynamic:c031</t>
  </si>
  <si>
    <t>=IFERROR('SharedData'!$R$2,"spill-caught")</t>
  </si>
  <si>
    <t>Intersection — CellRune Excel Oracle</t>
  </si>
  <si>
    <t>curated:intersection:c001</t>
  </si>
  <si>
    <t>=@'SharedData'!A6:A25</t>
  </si>
  <si>
    <t>curated:intersection:c002</t>
  </si>
  <si>
    <t>=@('SharedData'!A6:A25)</t>
  </si>
  <si>
    <t>curated:intersection:c003</t>
  </si>
  <si>
    <t>=@('SharedData'!A:A)</t>
  </si>
  <si>
    <t>curated:intersection:c004</t>
  </si>
  <si>
    <t>=@(@'SharedData'!A6:A8)</t>
  </si>
  <si>
    <t>curated:intersection:c005</t>
  </si>
  <si>
    <t>=@'SharedData'!A6:C6</t>
  </si>
  <si>
    <t>curated:intersection:c006</t>
  </si>
  <si>
    <t>=SUM('SharedData'!A6:A20 'SharedData'!A12:C12)</t>
  </si>
  <si>
    <t>curated:intersection:c007</t>
  </si>
  <si>
    <t>=SUM(('SharedData'!A6:A8,'SharedData'!E6:E8))</t>
  </si>
  <si>
    <t>curated:intersection:c008</t>
  </si>
  <si>
    <t>=SUM('SharedData'!A6:INDEX('SharedData'!A:A,10))</t>
  </si>
  <si>
    <t>curated:intersection:c009</t>
  </si>
  <si>
    <t>=SUM('SharedData'!6:8)</t>
  </si>
  <si>
    <t>curated:intersection:c010</t>
  </si>
  <si>
    <t>=SUM('SharedData'!A:A)</t>
  </si>
  <si>
    <t>curated:intersection:c011</t>
  </si>
  <si>
    <t>=COUNT('SharedData'!A:A 'SharedData'!6:8)</t>
  </si>
  <si>
    <t>Financial — CellRune Excel Oracle</t>
  </si>
  <si>
    <t>function:accrint</t>
  </si>
  <si>
    <t>ACCRINT</t>
  </si>
  <si>
    <t>=ACCRINT(DATE(2024,1,1),DATE(2024,7,1),DATE(2025,1,1),0.05,1000,2)</t>
  </si>
  <si>
    <t>function:accrintm</t>
  </si>
  <si>
    <t>ACCRINTM</t>
  </si>
  <si>
    <t>=ACCRINTM(DATE(2024,1,1),DATE(2025,1,1),0.05,1000,0)</t>
  </si>
  <si>
    <t>function:amordegrc</t>
  </si>
  <si>
    <t>AMORDEGRC</t>
  </si>
  <si>
    <t>=AMORDEGRC(10000,DATE(2023,1,1),DATE(2023,12,31),1000,1,0.15,0)</t>
  </si>
  <si>
    <t>function:amorlinc</t>
  </si>
  <si>
    <t>AMORLINC</t>
  </si>
  <si>
    <t>=AMORLINC(10000,DATE(2023,1,1),DATE(2023,12,31),1000,1,0.15,0)</t>
  </si>
  <si>
    <t>function:coupdaybs</t>
  </si>
  <si>
    <t>COUPDAYBS</t>
  </si>
  <si>
    <t>=COUPDAYBS(DATE(2025,3,15),DATE(2027,1,1),2,0)</t>
  </si>
  <si>
    <t>function:coupdays</t>
  </si>
  <si>
    <t>COUPDAYS</t>
  </si>
  <si>
    <t>=COUPDAYS(DATE(2025,3,15),DATE(2027,1,1),2,0)</t>
  </si>
  <si>
    <t>function:coupdaysnc</t>
  </si>
  <si>
    <t>COUPDAYSNC</t>
  </si>
  <si>
    <t>=COUPDAYSNC(DATE(2025,3,15),DATE(2027,1,1),2,0)</t>
  </si>
  <si>
    <t>function:coupncd</t>
  </si>
  <si>
    <t>COUPNCD</t>
  </si>
  <si>
    <t>=COUPNCD(DATE(2025,3,15),DATE(2027,1,1),2,0)</t>
  </si>
  <si>
    <t>function:coupnum</t>
  </si>
  <si>
    <t>COUPNUM</t>
  </si>
  <si>
    <t>=COUPNUM(DATE(2025,3,15),DATE(2027,1,1),2,0)</t>
  </si>
  <si>
    <t>function:couppcd</t>
  </si>
  <si>
    <t>COUPPCD</t>
  </si>
  <si>
    <t>=COUPPCD(DATE(2025,3,15),DATE(2027,1,1),2,0)</t>
  </si>
  <si>
    <t>function:cumipmt</t>
  </si>
  <si>
    <t>CUMIPMT</t>
  </si>
  <si>
    <t>=CUMIPMT(0.05/12,60,20000,1,12,0)</t>
  </si>
  <si>
    <t>function:cumprinc</t>
  </si>
  <si>
    <t>CUMPRINC</t>
  </si>
  <si>
    <t>=CUMPRINC(0.05/12,60,20000,1,12,0)</t>
  </si>
  <si>
    <t>function:db</t>
  </si>
  <si>
    <t>DB</t>
  </si>
  <si>
    <t>=DB(10000,1000,5,2,6)</t>
  </si>
  <si>
    <t>function:ddb</t>
  </si>
  <si>
    <t>DDB</t>
  </si>
  <si>
    <t>=DDB(10000,1000,5,2,2)</t>
  </si>
  <si>
    <t>function:disc</t>
  </si>
  <si>
    <t>DISC</t>
  </si>
  <si>
    <t>=DISC(DATE(2025,1,1),DATE(2025,7,1),97,100,0)</t>
  </si>
  <si>
    <t>function:dollarde</t>
  </si>
  <si>
    <t>DOLLARDE</t>
  </si>
  <si>
    <t>=DOLLARDE(1.08,16)</t>
  </si>
  <si>
    <t>function:dollarfr</t>
  </si>
  <si>
    <t>DOLLARFR</t>
  </si>
  <si>
    <t>=DOLLARFR(1.5,16)</t>
  </si>
  <si>
    <t>function:duration</t>
  </si>
  <si>
    <t>DURATION</t>
  </si>
  <si>
    <t>=DURATION(DATE(2025,1,1),DATE(2030,1,1),0.05,0.04,2,0)</t>
  </si>
  <si>
    <t>function:effect</t>
  </si>
  <si>
    <t>EFFECT</t>
  </si>
  <si>
    <t>=EFFECT(0.06,12)</t>
  </si>
  <si>
    <t>function:fv</t>
  </si>
  <si>
    <t>FV</t>
  </si>
  <si>
    <t>=FV(0.05/12,60,-250,-5000,0)</t>
  </si>
  <si>
    <t>function:fvschedule</t>
  </si>
  <si>
    <t>FVSCHEDULE</t>
  </si>
  <si>
    <t>=FVSCHEDULE(1000,{0.02,0.03,0.04,0.05})</t>
  </si>
  <si>
    <t>function:intrate</t>
  </si>
  <si>
    <t>INTRATE</t>
  </si>
  <si>
    <t>=INTRATE(DATE(2025,1,1),DATE(2025,7,1),970,1000,0)</t>
  </si>
  <si>
    <t>function:ipmt</t>
  </si>
  <si>
    <t>IPMT</t>
  </si>
  <si>
    <t>=IPMT(0.05/12,12,60,20000,0,0)</t>
  </si>
  <si>
    <t>function:irr</t>
  </si>
  <si>
    <t>IRR</t>
  </si>
  <si>
    <t>=IRR('SharedData'!$L$6:$L$15,0.1)</t>
  </si>
  <si>
    <t>function:ispmt</t>
  </si>
  <si>
    <t>ISPMT</t>
  </si>
  <si>
    <t>=ISPMT(0.05/12,12,60,20000)</t>
  </si>
  <si>
    <t>function:mduration</t>
  </si>
  <si>
    <t>MDURATION</t>
  </si>
  <si>
    <t>=MDURATION(DATE(2025,1,1),DATE(2030,1,1),0.05,0.04,2,0)</t>
  </si>
  <si>
    <t>function:mirr</t>
  </si>
  <si>
    <t>MIRR</t>
  </si>
  <si>
    <t>=MIRR('SharedData'!$L$6:$L$15,0.08,0.1)</t>
  </si>
  <si>
    <t>function:nominal</t>
  </si>
  <si>
    <t>NOMINAL</t>
  </si>
  <si>
    <t>=NOMINAL(0.0617,12)</t>
  </si>
  <si>
    <t>function:nper</t>
  </si>
  <si>
    <t>NPER</t>
  </si>
  <si>
    <t>=NPER(0.05/12,-250,5000,0,0)</t>
  </si>
  <si>
    <t>function:npv</t>
  </si>
  <si>
    <t>NPV</t>
  </si>
  <si>
    <t>=NPV(0.1,'SharedData'!$L$7:$L$15)+'SharedData'!$L$6</t>
  </si>
  <si>
    <t>function:oddfprice</t>
  </si>
  <si>
    <t>ODDFPRICE</t>
  </si>
  <si>
    <t>=ODDFPRICE(DATE(2025,2,1),DATE(2030,3,1),DATE(2024,11,15),DATE(2025,3,1),0.05,0.06,100,2,0)</t>
  </si>
  <si>
    <t>function:oddfyield</t>
  </si>
  <si>
    <t>ODDFYIELD</t>
  </si>
  <si>
    <t>=ODDFYIELD(DATE(2025,2,1),DATE(2030,3,1),DATE(2024,11,15),DATE(2025,3,1),0.05,95,100,2,0)</t>
  </si>
  <si>
    <t>function:oddlprice</t>
  </si>
  <si>
    <t>ODDLPRICE</t>
  </si>
  <si>
    <t>=ODDLPRICE(DATE(2025,2,1),DATE(2025,6,15),DATE(2024,10,15),0.05,0.06,100,2,0)</t>
  </si>
  <si>
    <t>function:oddlyield</t>
  </si>
  <si>
    <t>ODDLYIELD</t>
  </si>
  <si>
    <t>=ODDLYIELD(DATE(2025,2,1),DATE(2025,6,15),DATE(2024,10,15),0.05,99,100,2,0)</t>
  </si>
  <si>
    <t>function:pduration</t>
  </si>
  <si>
    <t>PDURATION</t>
  </si>
  <si>
    <t>=PDURATION(0.05,1000,2000)</t>
  </si>
  <si>
    <t>function:pmt</t>
  </si>
  <si>
    <t>PMT</t>
  </si>
  <si>
    <t>=PMT(0.05/12,60,20000,0,0)</t>
  </si>
  <si>
    <t>function:ppmt</t>
  </si>
  <si>
    <t>PPMT</t>
  </si>
  <si>
    <t>=PPMT(0.05/12,12,60,20000,0,0)</t>
  </si>
  <si>
    <t>function:price</t>
  </si>
  <si>
    <t>PRICE</t>
  </si>
  <si>
    <t>=PRICE(DATE(2025,1,1),DATE(2030,1,1),0.05,0.04,100,2,0)</t>
  </si>
  <si>
    <t>function:pricedisc</t>
  </si>
  <si>
    <t>PRICEDISC</t>
  </si>
  <si>
    <t>=PRICEDISC(DATE(2025,1,1),DATE(2025,7,1),0.04,100,0)</t>
  </si>
  <si>
    <t>function:pricemat</t>
  </si>
  <si>
    <t>PRICEMAT</t>
  </si>
  <si>
    <t>=PRICEMAT(DATE(2025,1,1),DATE(2025,7,1),DATE(2024,7,1),0.05,0.04,0)</t>
  </si>
  <si>
    <t>function:pv</t>
  </si>
  <si>
    <t>PV</t>
  </si>
  <si>
    <t>=PV(0.05/12,60,-250,0,0)</t>
  </si>
  <si>
    <t>function:rate</t>
  </si>
  <si>
    <t>RATE</t>
  </si>
  <si>
    <t>=RATE(60,-250,10000,0,0,0.01)</t>
  </si>
  <si>
    <t>function:received</t>
  </si>
  <si>
    <t>RECEIVED</t>
  </si>
  <si>
    <t>=RECEIVED(DATE(2025,1,1),DATE(2025,7,1),970,0.05,0)</t>
  </si>
  <si>
    <t>function:rri</t>
  </si>
  <si>
    <t>RRI</t>
  </si>
  <si>
    <t>=RRI(10,1000,2000)</t>
  </si>
  <si>
    <t>function:sln</t>
  </si>
  <si>
    <t>SLN</t>
  </si>
  <si>
    <t>=SLN(10000,1000,5)</t>
  </si>
  <si>
    <t>function:syd</t>
  </si>
  <si>
    <t>SYD</t>
  </si>
  <si>
    <t>=SYD(10000,1000,5,2)</t>
  </si>
  <si>
    <t>function:tbilleq</t>
  </si>
  <si>
    <t>TBILLEQ</t>
  </si>
  <si>
    <t>=TBILLEQ(DATE(2025,1,1),DATE(2025,7,1),0.04)</t>
  </si>
  <si>
    <t>function:tbillprice</t>
  </si>
  <si>
    <t>TBILLPRICE</t>
  </si>
  <si>
    <t>=TBILLPRICE(DATE(2025,1,1),DATE(2025,7,1),0.04)</t>
  </si>
  <si>
    <t>function:tbillyield</t>
  </si>
  <si>
    <t>TBILLYIELD</t>
  </si>
  <si>
    <t>=TBILLYIELD(DATE(2025,1,1),DATE(2025,7,1),98)</t>
  </si>
  <si>
    <t>function:vdb</t>
  </si>
  <si>
    <t>VDB</t>
  </si>
  <si>
    <t>=VDB(10000,1000,5,1,2,2,FALSE)</t>
  </si>
  <si>
    <t>function:xirr</t>
  </si>
  <si>
    <t>XIRR</t>
  </si>
  <si>
    <t>=XIRR('SharedData'!$L$6:$L$15,'SharedData'!$M$6:$M$15,0.1)</t>
  </si>
  <si>
    <t>function:xnpv</t>
  </si>
  <si>
    <t>XNPV</t>
  </si>
  <si>
    <t>=XNPV(0.1,'SharedData'!$L$6:$L$15,'SharedData'!$M$6:$M$15)</t>
  </si>
  <si>
    <t>function:yield</t>
  </si>
  <si>
    <t>YIELD</t>
  </si>
  <si>
    <t>=YIELD(DATE(2025,1,1),DATE(2030,1,1),0.05,95,100,2,0)</t>
  </si>
  <si>
    <t>function:yielddisc</t>
  </si>
  <si>
    <t>YIELDDISC</t>
  </si>
  <si>
    <t>=YIELDDISC(DATE(2025,1,1),DATE(2025,7,1),97,100,0)</t>
  </si>
  <si>
    <t>function:yieldmat</t>
  </si>
  <si>
    <t>YIELDMAT</t>
  </si>
  <si>
    <t>=YIELDMAT(DATE(2025,1,1),DATE(2025,7,1),DATE(2024,7,1),0.05,98,0)</t>
  </si>
  <si>
    <t>curated:financial:c006</t>
  </si>
  <si>
    <t>=PMT(0.05/12,60,PV(0.05/12,60,-250),0,0)</t>
  </si>
  <si>
    <t>curated:financial:c007</t>
  </si>
  <si>
    <t>=FV(0.05/12,60,-250,-5000,0)+PV(0.05/12,60,-250,0,0)</t>
  </si>
  <si>
    <t>curated:financial:c009</t>
  </si>
  <si>
    <t>=IFERROR(IRR({-100,1,1,1,1,1},10),NA())</t>
  </si>
  <si>
    <t>curated:financial:c010</t>
  </si>
  <si>
    <t>=IFERROR(IRR({100,200,300},0.1),NA())</t>
  </si>
  <si>
    <t>curated:financial:c011</t>
  </si>
  <si>
    <t>=IFERROR(RATE(2,-100,1000,0,0,0.9),NA())</t>
  </si>
  <si>
    <t>curated:financial:c012</t>
  </si>
  <si>
    <t>=PRICE(DATE(2025,1,1),DATE(2030,1,1),0.05,YIELD(DATE(2025,1,1),DATE(2030,1,1),0.05,95,100,2,0),100,2,0)</t>
  </si>
  <si>
    <t>Lookup — CellRune Excel Oracle</t>
  </si>
  <si>
    <t>function:address</t>
  </si>
  <si>
    <t>Lookup and reference</t>
  </si>
  <si>
    <t>ADDRESS</t>
  </si>
  <si>
    <t>=ADDRESS(12,5,1,TRUE,"SharedData")</t>
  </si>
  <si>
    <t>function:areas</t>
  </si>
  <si>
    <t>AREAS</t>
  </si>
  <si>
    <t>=AREAS(('SharedData'!$A$6:$A$8,'SharedData'!$E$6:$E$8))</t>
  </si>
  <si>
    <t>function:choose</t>
  </si>
  <si>
    <t>CHOOSE</t>
  </si>
  <si>
    <t>=CHOOSE(3,'SharedData'!$B$6,'SharedData'!$B$7,'SharedData'!$B$8)</t>
  </si>
  <si>
    <t>function:column</t>
  </si>
  <si>
    <t>COLUMN</t>
  </si>
  <si>
    <t>=COLUMN('SharedData'!$E$6)</t>
  </si>
  <si>
    <t>function:columns</t>
  </si>
  <si>
    <t>COLUMNS</t>
  </si>
  <si>
    <t>=COLUMNS('SharedData'!$A$6:$F$25)</t>
  </si>
  <si>
    <t>function:hlookup</t>
  </si>
  <si>
    <t>HLOOKUP</t>
  </si>
  <si>
    <t>=HLOOKUP("Amount",'SharedData'!$A$30:$F$50,10,FALSE)</t>
  </si>
  <si>
    <t>function:hyperlink</t>
  </si>
  <si>
    <t>HYPERLINK</t>
  </si>
  <si>
    <t>=HYPERLINK("https://github.com/emulette/cellrune","CellRune")</t>
  </si>
  <si>
    <t>function:index</t>
  </si>
  <si>
    <t>INDEX</t>
  </si>
  <si>
    <t>=INDEX('SharedData'!$E$6:$E$25,MATCH("K010",'SharedData'!$B$6:$B$25,0))</t>
  </si>
  <si>
    <t>function:indirect</t>
  </si>
  <si>
    <t>INDIRECT</t>
  </si>
  <si>
    <t>=INDIRECT("'SharedData'!E"&amp;MATCH("K010",'SharedData'!$B$1:$B$25,0))</t>
  </si>
  <si>
    <t>function:isformula</t>
  </si>
  <si>
    <t>ISFORMULA</t>
  </si>
  <si>
    <t>=ISFORMULA('SharedData'!$J$6)</t>
  </si>
  <si>
    <t>function:isref</t>
  </si>
  <si>
    <t>ISREF</t>
  </si>
  <si>
    <t>=ISREF('SharedData'!$A$6:$A$10)</t>
  </si>
  <si>
    <t>function:lookup</t>
  </si>
  <si>
    <t>LOOKUP</t>
  </si>
  <si>
    <t>=LOOKUP(75,'SharedData'!$E$6:$E$25,'SharedData'!$B$6:$B$25)</t>
  </si>
  <si>
    <t>function:match</t>
  </si>
  <si>
    <t>MATCH</t>
  </si>
  <si>
    <t>=MATCH("K010",'SharedData'!$B$6:$B$25,0)</t>
  </si>
  <si>
    <t>function:offset</t>
  </si>
  <si>
    <t>OFFSET</t>
  </si>
  <si>
    <t>=SUM(OFFSET('SharedData'!$E$6,2,0,5,1))</t>
  </si>
  <si>
    <t>function:row</t>
  </si>
  <si>
    <t>ROW</t>
  </si>
  <si>
    <t>=ROW('SharedData'!$E$12)</t>
  </si>
  <si>
    <t>function:rows</t>
  </si>
  <si>
    <t>ROWS</t>
  </si>
  <si>
    <t>=ROWS('SharedData'!$E$6:$E$25)</t>
  </si>
  <si>
    <t>function:sheet</t>
  </si>
  <si>
    <t>SHEET</t>
  </si>
  <si>
    <t>=SHEET('Financial'!$A$1)</t>
  </si>
  <si>
    <t>function:sheets</t>
  </si>
  <si>
    <t>SHEETS</t>
  </si>
  <si>
    <t>=SHEETS('Arithmetic:Unsupported'!$A$1)</t>
  </si>
  <si>
    <t>function:vlookup</t>
  </si>
  <si>
    <t>VLOOKUP</t>
  </si>
  <si>
    <t>=VLOOKUP("K010",'SharedData'!$B$6:$E$25,4,FALSE)</t>
  </si>
  <si>
    <t>function:xlookup</t>
  </si>
  <si>
    <t>XLOOKUP</t>
  </si>
  <si>
    <t>=XLOOKUP("K010",'SharedData'!$B$6:$B$25,'SharedData'!$E$6:$E$25,"missing",0,1)</t>
  </si>
  <si>
    <t>function:xmatch</t>
  </si>
  <si>
    <t>XMATCH</t>
  </si>
  <si>
    <t>=XMATCH("K010",'SharedData'!$B$6:$B$25,0,1)</t>
  </si>
  <si>
    <t>curated:lookup:c001</t>
  </si>
  <si>
    <t>=XLOOKUP("K010",'SharedData'!$B$6:$B$25,'SharedData'!$E$6:$F$25,"missing",0,1)</t>
  </si>
  <si>
    <t>curated:lookup:c002</t>
  </si>
  <si>
    <t>=INDEX('SharedData'!$E$6:$E$25,XMATCH(MAX('SharedData'!$E$6:$E$25),'SharedData'!$E$6:$E$25,0))</t>
  </si>
  <si>
    <t>curated:lookup:c003</t>
  </si>
  <si>
    <t>=VLOOKUP("K010",'SharedData'!$B$6:$F$25,4,FALSE)</t>
  </si>
  <si>
    <t>curated:lookup:c004</t>
  </si>
  <si>
    <t>=VLOOKUP(75,'SharedData'!$E$6:$F$25,2,TRUE)</t>
  </si>
  <si>
    <t>curated:lookup:c005</t>
  </si>
  <si>
    <t>=MATCH(75,'SharedData'!$E$6:$E$25,1)</t>
  </si>
  <si>
    <t>curated:lookup:c006</t>
  </si>
  <si>
    <t>=MATCH(75,'SharedData'!$E$6:$E$25,-1)</t>
  </si>
  <si>
    <t>curated:lookup:c008</t>
  </si>
  <si>
    <t>=HLOOKUP("Amount",'SharedData'!$A$5:$F$25,5,FALSE)</t>
  </si>
  <si>
    <t>curated:lookup:c009</t>
  </si>
  <si>
    <t>=INDEX('SharedData'!$A$6:$F$25,MATCH("K010",'SharedData'!$B$6:$B$25,0),MATCH("Amount",'SharedData'!$A$5:$F$5,0))</t>
  </si>
  <si>
    <t>curated:lookup:c010</t>
  </si>
  <si>
    <t>=SUM(OFFSET('SharedData'!$E$6,MATCH("K010",'SharedData'!$B$6:$B$25,0)-1,0,3,1))</t>
  </si>
  <si>
    <t>curated:lookup:c011</t>
  </si>
  <si>
    <t>=INDIRECT(ADDRESS(MATCH("K010",'SharedData'!$B$1:$B$25,0),5,1,TRUE,"SharedData"))</t>
  </si>
  <si>
    <t>curated:lookup:c012</t>
  </si>
  <si>
    <t>=XLOOKUP(74,'SharedData'!$E$6:$E$25,'SharedData'!$B$6:$B$25,"none",-1,2)</t>
  </si>
  <si>
    <t>curated:lookup:c013</t>
  </si>
  <si>
    <t>=SUM(DataTable[Amount])</t>
  </si>
  <si>
    <t>curated:lookup:c014</t>
  </si>
  <si>
    <t>=XLOOKUP("K010",DataTable[Key],DataTable[Amount],"missing")</t>
  </si>
  <si>
    <t>TextDate — CellRune Excel Oracle</t>
  </si>
  <si>
    <t>function:arraytotext</t>
  </si>
  <si>
    <t>Text</t>
  </si>
  <si>
    <t>ARRAYTOTEXT</t>
  </si>
  <si>
    <t>=ARRAYTOTEXT('SharedData'!$A$6:$C$8,1)</t>
  </si>
  <si>
    <t>function:asc</t>
  </si>
  <si>
    <t>ASC</t>
  </si>
  <si>
    <t>=ASC("ＡＢＣ１２３")</t>
  </si>
  <si>
    <t>function:bahttext</t>
  </si>
  <si>
    <t>BAHTTEXT</t>
  </si>
  <si>
    <t>=BAHTTEXT(1234.5)</t>
  </si>
  <si>
    <t>function:char</t>
  </si>
  <si>
    <t>CHAR</t>
  </si>
  <si>
    <t>=CHAR(65)</t>
  </si>
  <si>
    <t>function:clean</t>
  </si>
  <si>
    <t>CLEAN</t>
  </si>
  <si>
    <t>=CLEAN("Cell"&amp;CHAR(9)&amp;"Rune")</t>
  </si>
  <si>
    <t>function:code</t>
  </si>
  <si>
    <t>CODE</t>
  </si>
  <si>
    <t>=CODE("A")</t>
  </si>
  <si>
    <t>function:concat</t>
  </si>
  <si>
    <t>CONCAT</t>
  </si>
  <si>
    <t>=CONCAT('SharedData'!$B$6:$B$10)</t>
  </si>
  <si>
    <t>function:concatenate</t>
  </si>
  <si>
    <t>CONCATENATE</t>
  </si>
  <si>
    <t>=CONCATENATE('SharedData'!$B$6,"-",'SharedData'!$B$7)</t>
  </si>
  <si>
    <t>function:date</t>
  </si>
  <si>
    <t>Date and time</t>
  </si>
  <si>
    <t>DATE</t>
  </si>
  <si>
    <t>=DATE(2024,2,29)</t>
  </si>
  <si>
    <t>function:datedif</t>
  </si>
  <si>
    <t>DATEDIF</t>
  </si>
  <si>
    <t>=DATEDIF(DATE(2020,1,15),DATE(2026,7,27),"ym")</t>
  </si>
  <si>
    <t>function:datevalue</t>
  </si>
  <si>
    <t>DATEVALUE</t>
  </si>
  <si>
    <t>=DATEVALUE("2024-02-29")</t>
  </si>
  <si>
    <t>function:day</t>
  </si>
  <si>
    <t>DAY</t>
  </si>
  <si>
    <t>=DAY('SharedData'!$D$6)</t>
  </si>
  <si>
    <t>function:days</t>
  </si>
  <si>
    <t>DAYS</t>
  </si>
  <si>
    <t>=DAYS('SharedData'!$D$25,'SharedData'!$D$6)</t>
  </si>
  <si>
    <t>function:days360</t>
  </si>
  <si>
    <t>DAYS360</t>
  </si>
  <si>
    <t>=DAYS360('SharedData'!$D$6,'SharedData'!$D$25,FALSE)</t>
  </si>
  <si>
    <t>function:dbcs</t>
  </si>
  <si>
    <t>DBCS</t>
  </si>
  <si>
    <t>=DBCS("CellRune Oracle 2026")</t>
  </si>
  <si>
    <t>function:dollar</t>
  </si>
  <si>
    <t>DOLLAR</t>
  </si>
  <si>
    <t>=DOLLAR(1234.567,2)</t>
  </si>
  <si>
    <t>function:edate</t>
  </si>
  <si>
    <t>EDATE</t>
  </si>
  <si>
    <t>=EDATE('SharedData'!$D$6,18)</t>
  </si>
  <si>
    <t>function:eomonth</t>
  </si>
  <si>
    <t>EOMONTH</t>
  </si>
  <si>
    <t>=EOMONTH('SharedData'!$D$6,3)</t>
  </si>
  <si>
    <t>function:exact</t>
  </si>
  <si>
    <t>EXACT</t>
  </si>
  <si>
    <t>=EXACT("CellRune","cellrune")</t>
  </si>
  <si>
    <t>function:find</t>
  </si>
  <si>
    <t>FIND</t>
  </si>
  <si>
    <t>=FIND("Rune","CellRune Oracle")</t>
  </si>
  <si>
    <t>function:findb</t>
  </si>
  <si>
    <t>FINDB</t>
  </si>
  <si>
    <t>=FINDB("Rune","CellRune Oracle")</t>
  </si>
  <si>
    <t>function:fixed</t>
  </si>
  <si>
    <t>FIXED</t>
  </si>
  <si>
    <t>=FIXED(12345.6789,2,TRUE)</t>
  </si>
  <si>
    <t>function:formulatext</t>
  </si>
  <si>
    <t>FORMULATEXT</t>
  </si>
  <si>
    <t>=FORMULATEXT('SharedData'!$J$6)</t>
  </si>
  <si>
    <t>function:hour</t>
  </si>
  <si>
    <t>HOUR</t>
  </si>
  <si>
    <t>=HOUR(TIME(14,35,42))</t>
  </si>
  <si>
    <t>function:isoweeknum</t>
  </si>
  <si>
    <t>ISOWEEKNUM</t>
  </si>
  <si>
    <t>=ISOWEEKNUM(DATE(2026,1,1))</t>
  </si>
  <si>
    <t>function:left</t>
  </si>
  <si>
    <t>LEFT</t>
  </si>
  <si>
    <t>=LEFT("CellRune Oracle",4)</t>
  </si>
  <si>
    <t>function:leftb</t>
  </si>
  <si>
    <t>LEFTB</t>
  </si>
  <si>
    <t>=LEFTB("CellRune Oracle",4)</t>
  </si>
  <si>
    <t>function:len</t>
  </si>
  <si>
    <t>LEN</t>
  </si>
  <si>
    <t>=LEN("CellRune 오라클")</t>
  </si>
  <si>
    <t>function:lenb</t>
  </si>
  <si>
    <t>LENB</t>
  </si>
  <si>
    <t>=LENB("CellRune 오라클")</t>
  </si>
  <si>
    <t>function:lower</t>
  </si>
  <si>
    <t>LOWER</t>
  </si>
  <si>
    <t>=LOWER("CellRune Oracle 2026")</t>
  </si>
  <si>
    <t>function:mid</t>
  </si>
  <si>
    <t>MID</t>
  </si>
  <si>
    <t>=MID("CellRune Oracle",5,4)</t>
  </si>
  <si>
    <t>function:midb</t>
  </si>
  <si>
    <t>MIDB</t>
  </si>
  <si>
    <t>=MIDB("CellRune Oracle",5,4)</t>
  </si>
  <si>
    <t>function:minute</t>
  </si>
  <si>
    <t>MINUTE</t>
  </si>
  <si>
    <t>=MINUTE(TIME(14,35,42))</t>
  </si>
  <si>
    <t>function:month</t>
  </si>
  <si>
    <t>MONTH</t>
  </si>
  <si>
    <t>=MONTH(DATE(2026,7,27))</t>
  </si>
  <si>
    <t>function:networkdays</t>
  </si>
  <si>
    <t>NETWORKDAYS</t>
  </si>
  <si>
    <t>=NETWORKDAYS(DATE(2026,1,1),DATE(2026,3,31),'SharedData'!$D$8:$D$12)</t>
  </si>
  <si>
    <t>function:networkdays-intl</t>
  </si>
  <si>
    <t>NETWORKDAYS.INTL</t>
  </si>
  <si>
    <t>=NETWORKDAYS.INTL(DATE(2026,1,1),DATE(2026,3,31),1,'SharedData'!$D$8:$D$10)</t>
  </si>
  <si>
    <t>function:numbervalue</t>
  </si>
  <si>
    <t>NUMBERVALUE</t>
  </si>
  <si>
    <t>=NUMBERVALUE("1,234.56",".",",")</t>
  </si>
  <si>
    <t>function:phonetic</t>
  </si>
  <si>
    <t>PHONETIC</t>
  </si>
  <si>
    <t>=PHONETIC('SharedData'!$B$6)</t>
  </si>
  <si>
    <t>function:proper</t>
  </si>
  <si>
    <t>PROPER</t>
  </si>
  <si>
    <t>=PROPER("CellRune Oracle 2026")</t>
  </si>
  <si>
    <t>function:regexextract</t>
  </si>
  <si>
    <t>REGEXEXTRACT</t>
  </si>
  <si>
    <t>=REGEXEXTRACT("CR-2026-0727","[0-9]{4}")</t>
  </si>
  <si>
    <t>function:regexreplace</t>
  </si>
  <si>
    <t>REGEXREPLACE</t>
  </si>
  <si>
    <t>=REGEXREPLACE("CR-2026-0727","[0-9]","#")</t>
  </si>
  <si>
    <t>function:regextest</t>
  </si>
  <si>
    <t>REGEXTEST</t>
  </si>
  <si>
    <t>=REGEXTEST("CR-2026-0727","^CR-[0-9]{4}")</t>
  </si>
  <si>
    <t>function:replace</t>
  </si>
  <si>
    <t>REPLACE</t>
  </si>
  <si>
    <t>=REPLACE("CellRune",5,4,"Oracle")</t>
  </si>
  <si>
    <t>function:replaceb</t>
  </si>
  <si>
    <t>REPLACEB</t>
  </si>
  <si>
    <t>=REPLACEB("CellRune",5,4,"Oracle")</t>
  </si>
  <si>
    <t>function:rept</t>
  </si>
  <si>
    <t>REPT</t>
  </si>
  <si>
    <t>=REPT("CR",3)</t>
  </si>
  <si>
    <t>function:right</t>
  </si>
  <si>
    <t>RIGHT</t>
  </si>
  <si>
    <t>=RIGHT("CellRune Oracle",6)</t>
  </si>
  <si>
    <t>function:rightb</t>
  </si>
  <si>
    <t>RIGHTB</t>
  </si>
  <si>
    <t>=RIGHTB("CellRune Oracle",6)</t>
  </si>
  <si>
    <t>function:search</t>
  </si>
  <si>
    <t>SEARCH</t>
  </si>
  <si>
    <t>=SEARCH("rune","CellRune Oracle")</t>
  </si>
  <si>
    <t>function:searchb</t>
  </si>
  <si>
    <t>SEARCHB</t>
  </si>
  <si>
    <t>=SEARCHB("rune","CellRune Oracle")</t>
  </si>
  <si>
    <t>function:second</t>
  </si>
  <si>
    <t>SECOND</t>
  </si>
  <si>
    <t>=SECOND(TIME(14,35,42))</t>
  </si>
  <si>
    <t>function:substitute</t>
  </si>
  <si>
    <t>SUBSTITUTE</t>
  </si>
  <si>
    <t>=SUBSTITUTE("CellRune Oracle 2026","Oracle","Atlas")</t>
  </si>
  <si>
    <t>function:t</t>
  </si>
  <si>
    <t>T</t>
  </si>
  <si>
    <t>=T('SharedData'!$B$6)</t>
  </si>
  <si>
    <t>function:text</t>
  </si>
  <si>
    <t>TEXT</t>
  </si>
  <si>
    <t>=TEXT(DATE(2026,7,27),"yyyy-mm-dd")</t>
  </si>
  <si>
    <t>function:textafter</t>
  </si>
  <si>
    <t>TEXTAFTER</t>
  </si>
  <si>
    <t>=TEXTAFTER("alpha|beta|gamma","|",2)</t>
  </si>
  <si>
    <t>function:textbefore</t>
  </si>
  <si>
    <t>TEXTBEFORE</t>
  </si>
  <si>
    <t>=TEXTBEFORE("alpha|beta|gamma","|",2)</t>
  </si>
  <si>
    <t>function:textjoin</t>
  </si>
  <si>
    <t>TEXTJOIN</t>
  </si>
  <si>
    <t>=TEXTJOIN("|",TRUE,'SharedData'!$B$6:$B$10)</t>
  </si>
  <si>
    <t>function:textsplit</t>
  </si>
  <si>
    <t>TEXTSPLIT</t>
  </si>
  <si>
    <t>=TEXTSPLIT("alpha|beta;gamma|delta","|",";")</t>
  </si>
  <si>
    <t>function:time</t>
  </si>
  <si>
    <t>TIME</t>
  </si>
  <si>
    <t>=TIME(14,35,42)</t>
  </si>
  <si>
    <t>function:timevalue</t>
  </si>
  <si>
    <t>TIMEVALUE</t>
  </si>
  <si>
    <t>=TIMEVALUE("14:35:42")</t>
  </si>
  <si>
    <t>function:trim</t>
  </si>
  <si>
    <t>TRIM</t>
  </si>
  <si>
    <t>=TRIM("CellRune Oracle 2026")</t>
  </si>
  <si>
    <t>function:unichar</t>
  </si>
  <si>
    <t>UNICHAR</t>
  </si>
  <si>
    <t>=UNICHAR("CellRune Oracle 2026")</t>
  </si>
  <si>
    <t>function:unicode</t>
  </si>
  <si>
    <t>UNICODE</t>
  </si>
  <si>
    <t>=UNICODE("CellRune Oracle 2026")</t>
  </si>
  <si>
    <t>function:upper</t>
  </si>
  <si>
    <t>UPPER</t>
  </si>
  <si>
    <t>=UPPER("CellRune Oracle 2026")</t>
  </si>
  <si>
    <t>function:value</t>
  </si>
  <si>
    <t>VALUE</t>
  </si>
  <si>
    <t>=VALUE("1234.56")</t>
  </si>
  <si>
    <t>function:valuetotext</t>
  </si>
  <si>
    <t>VALUETOTEXT</t>
  </si>
  <si>
    <t>=VALUETOTEXT('SharedData'!$A$6:$C$8,1)</t>
  </si>
  <si>
    <t>function:weekday</t>
  </si>
  <si>
    <t>WEEKDAY</t>
  </si>
  <si>
    <t>=WEEKDAY(DATE(1900,2,28),1)</t>
  </si>
  <si>
    <t>function:weeknum</t>
  </si>
  <si>
    <t>WEEKNUM</t>
  </si>
  <si>
    <t>=WEEKNUM(DATE(2026,1,1),21)</t>
  </si>
  <si>
    <t>function:workday</t>
  </si>
  <si>
    <t>WORKDAY</t>
  </si>
  <si>
    <t>=WORKDAY(DATE(2026,1,1),40,'SharedData'!$D$8:$D$10)</t>
  </si>
  <si>
    <t>function:workday-intl</t>
  </si>
  <si>
    <t>WORKDAY.INTL</t>
  </si>
  <si>
    <t>=WORKDAY.INTL(DATE(2026,1,1),40,1,'SharedData'!$D$8:$D$10)</t>
  </si>
  <si>
    <t>function:year</t>
  </si>
  <si>
    <t>YEAR</t>
  </si>
  <si>
    <t>=YEAR('SharedData'!$D$6)</t>
  </si>
  <si>
    <t>function:yearfrac</t>
  </si>
  <si>
    <t>YEARFRAC</t>
  </si>
  <si>
    <t>=YEARFRAC('SharedData'!$D$6,'SharedData'!$D$25,1)</t>
  </si>
  <si>
    <t>curated:textdate:c001</t>
  </si>
  <si>
    <t>=TEXTJOIN("|",TRUE,TEXT('SharedData'!$D$6:$D$10,"yyyy-mm-dd"))</t>
  </si>
  <si>
    <t>curated:textdate:c003</t>
  </si>
  <si>
    <t>=DATE(1900,2,29)</t>
  </si>
  <si>
    <t>curated:textdate:c004</t>
  </si>
  <si>
    <t>=DATE(1900,3,1)-DATE(1900,2,28)</t>
  </si>
  <si>
    <t>curated:textdate:c005</t>
  </si>
  <si>
    <t>=WEEKDAY(60,1)</t>
  </si>
  <si>
    <t>curated:textdate:c006</t>
  </si>
  <si>
    <t>=WEEKDAY(61,1)</t>
  </si>
  <si>
    <t>curated:textdate:c007</t>
  </si>
  <si>
    <t>=TEXT(60,"yyyy-mm-dd")</t>
  </si>
  <si>
    <t>curated:textdate:c008</t>
  </si>
  <si>
    <t>=DAY(60)</t>
  </si>
  <si>
    <t>curated:textdate:c009</t>
  </si>
  <si>
    <t>=YEARFRAC(DATE(2020,2,29),DATE(2024,2,29),1)</t>
  </si>
  <si>
    <t>curated:textdate:c010</t>
  </si>
  <si>
    <t>=TEXTAFTER(TEXTBEFORE("alpha|beta|gamma","|",-1),"|")</t>
  </si>
  <si>
    <t>curated:textdate:c011</t>
  </si>
  <si>
    <t>=REGEXREPLACE(LOWER(TEXTJOIN("-",TRUE,'SharedData'!$B$6:$B$10)),"[^a-z0-9-]","")</t>
  </si>
  <si>
    <t>curated:textdate:c012</t>
  </si>
  <si>
    <t>=NUMBERVALUE(SUBSTITUTE("1 234,56"," ",""),",",".")</t>
  </si>
  <si>
    <t>curated:textdate:c013</t>
  </si>
  <si>
    <t>=WORKDAY.INTL(DATE(2026,1,1),NETWORKDAYS(DATE(2026,1,1),DATE(2026,3,31)),1,'SharedData'!$D$8:$D$10)</t>
  </si>
  <si>
    <t>curated:textdate:c014</t>
  </si>
  <si>
    <t>=DOLLAR(1.1-1,15)</t>
  </si>
  <si>
    <t>curated:textdate:c015</t>
  </si>
  <si>
    <t>=DOLLAR(1234.5,2)</t>
  </si>
  <si>
    <t>curated:textdate:c016</t>
  </si>
  <si>
    <t>=CONCAT(UNICHAR(9733)," ",PROPER('SharedData'!$B$6)," ",TEXT('SharedData'!$D$6,"yyyy-mm-dd"))</t>
  </si>
  <si>
    <t>Errors — CellRune Excel Oracle</t>
  </si>
  <si>
    <t>function:and</t>
  </si>
  <si>
    <t>Logical / information / error</t>
  </si>
  <si>
    <t>AND</t>
  </si>
  <si>
    <t>=AND('SharedData'!$G$6:$G$10)</t>
  </si>
  <si>
    <t>function:error-type</t>
  </si>
  <si>
    <t>ERROR.TYPE</t>
  </si>
  <si>
    <t>=ERROR.TYPE(NA())</t>
  </si>
  <si>
    <t>function:false</t>
  </si>
  <si>
    <t>FALSE</t>
  </si>
  <si>
    <t>=FALSE()</t>
  </si>
  <si>
    <t>function:if</t>
  </si>
  <si>
    <t>IF</t>
  </si>
  <si>
    <t>=IF('SharedData'!$A$6+'SharedData'!$A$7-'SharedData'!$A$8=0,"cancelled","residue")</t>
  </si>
  <si>
    <t>function:iferror</t>
  </si>
  <si>
    <t>IFERROR</t>
  </si>
  <si>
    <t>=IFERROR(1/0,"caught")</t>
  </si>
  <si>
    <t>function:ifna</t>
  </si>
  <si>
    <t>IFNA</t>
  </si>
  <si>
    <t>=IFNA(XLOOKUP("missing",'SharedData'!$B$6:$B$25,'SharedData'!$E$6:$E$25),"not found")</t>
  </si>
  <si>
    <t>function:ifs</t>
  </si>
  <si>
    <t>IFS</t>
  </si>
  <si>
    <t>=IFS('SharedData'!$E$6&gt;150,"high",'SharedData'!$E$6&gt;50,"mid",TRUE,"low")</t>
  </si>
  <si>
    <t>function:isblank</t>
  </si>
  <si>
    <t>ISBLANK</t>
  </si>
  <si>
    <t>=ISBLANK('SharedData'!$H$6)</t>
  </si>
  <si>
    <t>function:iserr</t>
  </si>
  <si>
    <t>ISERR</t>
  </si>
  <si>
    <t>=ISERR(1/0)</t>
  </si>
  <si>
    <t>function:iserror</t>
  </si>
  <si>
    <t>ISERROR</t>
  </si>
  <si>
    <t>=ISERROR(NA())</t>
  </si>
  <si>
    <t>function:iseven</t>
  </si>
  <si>
    <t>ISEVEN</t>
  </si>
  <si>
    <t>=ISEVEN('SharedData'!$E$6)</t>
  </si>
  <si>
    <t>function:islogical</t>
  </si>
  <si>
    <t>ISLOGICAL</t>
  </si>
  <si>
    <t>=ISLOGICAL('SharedData'!$G$6)</t>
  </si>
  <si>
    <t>function:isna</t>
  </si>
  <si>
    <t>ISNA</t>
  </si>
  <si>
    <t>=ISNA(NA())</t>
  </si>
  <si>
    <t>function:isnontext</t>
  </si>
  <si>
    <t>ISNONTEXT</t>
  </si>
  <si>
    <t>=ISNONTEXT('SharedData'!$E$6)</t>
  </si>
  <si>
    <t>function:isnumber</t>
  </si>
  <si>
    <t>ISNUMBER</t>
  </si>
  <si>
    <t>=ISNUMBER('SharedData'!$A$6)</t>
  </si>
  <si>
    <t>function:isodd</t>
  </si>
  <si>
    <t>ISODD</t>
  </si>
  <si>
    <t>=ISODD('SharedData'!$E$7)</t>
  </si>
  <si>
    <t>function:isomitted</t>
  </si>
  <si>
    <t>ISOMITTED</t>
  </si>
  <si>
    <t>=LAMBDA(x,IF(ISOMITTED(x),"omitted",x))()</t>
  </si>
  <si>
    <t>function:istext</t>
  </si>
  <si>
    <t>ISTEXT</t>
  </si>
  <si>
    <t>=ISTEXT('SharedData'!$B$6)</t>
  </si>
  <si>
    <t>function:n</t>
  </si>
  <si>
    <t>N</t>
  </si>
  <si>
    <t>=N('SharedData'!$G$6)</t>
  </si>
  <si>
    <t>function:na</t>
  </si>
  <si>
    <t>NA</t>
  </si>
  <si>
    <t>=NA()</t>
  </si>
  <si>
    <t>function:not</t>
  </si>
  <si>
    <t>NOT</t>
  </si>
  <si>
    <t>=NOT('SharedData'!$G$6)</t>
  </si>
  <si>
    <t>function:or</t>
  </si>
  <si>
    <t>OR</t>
  </si>
  <si>
    <t>=OR(TRUE,FALSE)</t>
  </si>
  <si>
    <t>function:switch</t>
  </si>
  <si>
    <t>SWITCH</t>
  </si>
  <si>
    <t>=SWITCH('SharedData'!$C$6,"A",1,"B",2,"C",3,0)</t>
  </si>
  <si>
    <t>function:true</t>
  </si>
  <si>
    <t>TRUE</t>
  </si>
  <si>
    <t>=TRUE()</t>
  </si>
  <si>
    <t>function:type</t>
  </si>
  <si>
    <t>TYPE</t>
  </si>
  <si>
    <t>=TYPE('SharedData'!$E$6)</t>
  </si>
  <si>
    <t>function:xor</t>
  </si>
  <si>
    <t>XOR</t>
  </si>
  <si>
    <t>=XOR(TRUE,FALSE)</t>
  </si>
  <si>
    <t>curated:errors:c001</t>
  </si>
  <si>
    <t>=1/0</t>
  </si>
  <si>
    <t>curated:errors:c002</t>
  </si>
  <si>
    <t>=0/0</t>
  </si>
  <si>
    <t>curated:errors:c003</t>
  </si>
  <si>
    <t>=SQRT(-1)</t>
  </si>
  <si>
    <t>curated:errors:c004</t>
  </si>
  <si>
    <t>=MATCH("missing",'SharedData'!$B$6:$B$25,0)</t>
  </si>
  <si>
    <t>curated:errors:c005</t>
  </si>
  <si>
    <t>=INDEX('SharedData'!$E$6:$E$25,999)</t>
  </si>
  <si>
    <t>curated:errors:c006</t>
  </si>
  <si>
    <t>=VALUE("not a number")</t>
  </si>
  <si>
    <t>curated:errors:c007</t>
  </si>
  <si>
    <t>=NONEXISTENTFUNC(1)</t>
  </si>
  <si>
    <t>curated:errors:c009</t>
  </si>
  <si>
    <t>=IFNA(NA(),"caught-na")</t>
  </si>
  <si>
    <t>curated:errors:c010</t>
  </si>
  <si>
    <t>=IFNA(1/0,"not-reached")</t>
  </si>
  <si>
    <t>curated:errors:c012</t>
  </si>
  <si>
    <t>=ERROR.TYPE(1/0)</t>
  </si>
  <si>
    <t>curated:errors:c013</t>
  </si>
  <si>
    <t>=SUM(1,NA(),3)</t>
  </si>
  <si>
    <t>curated:errors:c014</t>
  </si>
  <si>
    <t>=SUM('SharedData'!$E$6:$E$25)+1/0</t>
  </si>
  <si>
    <t>curated:errors:c015</t>
  </si>
  <si>
    <t>=IF('SharedData'!$G$6,NA(),1/0)</t>
  </si>
  <si>
    <t>curated:errors:c016</t>
  </si>
  <si>
    <t>=ISERROR(1/0)</t>
  </si>
  <si>
    <t>curated:errors:c017</t>
  </si>
  <si>
    <t>=ISERR(NA())</t>
  </si>
  <si>
    <t>curated:errors:c018</t>
  </si>
  <si>
    <t>=AGGREGATE(9,6,{1,2,3,4})</t>
  </si>
  <si>
    <t>curated:errors:c019</t>
  </si>
  <si>
    <t>curated:errors:c020</t>
  </si>
  <si>
    <t>='SharedData'!$O$2</t>
  </si>
  <si>
    <t>EXCLUDED</t>
  </si>
  <si>
    <t>excluded</t>
  </si>
  <si>
    <t>Circular reference with iteration off has no deterministic semantic cache.</t>
  </si>
  <si>
    <t>curated:errors:c021</t>
  </si>
  <si>
    <t>=ISNUMBER('SharedData'!$O$2)</t>
  </si>
  <si>
    <t>Predicate over a circular reference has no deterministic semantic cache.</t>
  </si>
  <si>
    <t>Unsupported — CellRune Excel Oracle</t>
  </si>
  <si>
    <t>function:call</t>
  </si>
  <si>
    <t>Native automation exclusion</t>
  </si>
  <si>
    <t>CALL</t>
  </si>
  <si>
    <t>Catalogued but inactive because a native automation server is required</t>
  </si>
  <si>
    <t>=CALL(0.5)</t>
  </si>
  <si>
    <t>Native add-in automation is host- and architecture-dependent.</t>
  </si>
  <si>
    <t>function:cell</t>
  </si>
  <si>
    <t>Host-dependent exclusion</t>
  </si>
  <si>
    <t>CELL</t>
  </si>
  <si>
    <t>Catalogued but inactive because the value identifies the saving host</t>
  </si>
  <si>
    <t>=CELL("address",'SharedData'!$E$6)</t>
  </si>
  <si>
    <t>Result depends on the workbook filename and path.</t>
  </si>
  <si>
    <t>function:copilot</t>
  </si>
  <si>
    <t>External service exclusion</t>
  </si>
  <si>
    <t>COPILOT</t>
  </si>
  <si>
    <t>Catalogued but inactive because an external service is required</t>
  </si>
  <si>
    <t>=COPILOT(0.5)</t>
  </si>
  <si>
    <t>Requires an external AI service and account context.</t>
  </si>
  <si>
    <t>function:cubekpimember</t>
  </si>
  <si>
    <t>External connection exclusion</t>
  </si>
  <si>
    <t>CUBEKPIMEMBER</t>
  </si>
  <si>
    <t>Catalogued but inactive because an external data connection is required</t>
  </si>
  <si>
    <t>=CUBEKPIMEMBER(0.5)</t>
  </si>
  <si>
    <t>Requires an OLAP connection.</t>
  </si>
  <si>
    <t>function:cubemember</t>
  </si>
  <si>
    <t>CUBEMEMBER</t>
  </si>
  <si>
    <t>=CUBEMEMBER(0.5)</t>
  </si>
  <si>
    <t>function:cubememberproperty</t>
  </si>
  <si>
    <t>CUBEMEMBERPROPERTY</t>
  </si>
  <si>
    <t>=CUBEMEMBERPROPERTY(0.5)</t>
  </si>
  <si>
    <t>function:cuberankedmember</t>
  </si>
  <si>
    <t>CUBERANKEDMEMBER</t>
  </si>
  <si>
    <t>=CUBERANKEDMEMBER(0.5)</t>
  </si>
  <si>
    <t>function:cubeset</t>
  </si>
  <si>
    <t>CUBESET</t>
  </si>
  <si>
    <t>=CUBESET(0.5)</t>
  </si>
  <si>
    <t>function:cubesetcount</t>
  </si>
  <si>
    <t>CUBESETCOUNT</t>
  </si>
  <si>
    <t>=CUBESETCOUNT(0.5)</t>
  </si>
  <si>
    <t>function:cubevalue</t>
  </si>
  <si>
    <t>CUBEVALUE</t>
  </si>
  <si>
    <t>=CUBEVALUE(0.5)</t>
  </si>
  <si>
    <t>function:detectlanguage</t>
  </si>
  <si>
    <t>DETECTLANGUAGE</t>
  </si>
  <si>
    <t>=DETECTLANGUAGE(0.5)</t>
  </si>
  <si>
    <t>Requires an external translation service.</t>
  </si>
  <si>
    <t>function:encodeurl</t>
  </si>
  <si>
    <t>Required host matrix unavailable</t>
  </si>
  <si>
    <t>ENCODEURL</t>
  </si>
  <si>
    <t>Catalogued for future profiles but inactive in the required 0.1.7 host matrix</t>
  </si>
  <si>
    <t>=ENCODEURL("CellRune 오라클")</t>
  </si>
  <si>
    <t>Neither required host profile implements ENCODEURL.</t>
  </si>
  <si>
    <t>function:euroconvert</t>
  </si>
  <si>
    <t>EUROCONVERT</t>
  </si>
  <si>
    <t>=EUROCONVERT(100,"DEM","EUR",TRUE,3)</t>
  </si>
  <si>
    <t>Neither required profile has the Euro Currency Tools add-in available.</t>
  </si>
  <si>
    <t>function:filterxml</t>
  </si>
  <si>
    <t>FILTERXML</t>
  </si>
  <si>
    <t>=FILTERXML("&lt;root&gt;&lt;x&gt;7&lt;/x&gt;&lt;x&gt;9&lt;/x&gt;&lt;/root&gt;","//x[1]")</t>
  </si>
  <si>
    <t>Neither required host profile implements FILTERXML.</t>
  </si>
  <si>
    <t>function:getpivotdata</t>
  </si>
  <si>
    <t>Fixture exclusion</t>
  </si>
  <si>
    <t>GETPIVOTDATA</t>
  </si>
  <si>
    <t>Catalogued but inactive because the required workbook fixture is absent</t>
  </si>
  <si>
    <t>=GETPIVOTDATA("Amount",'SharedData'!$A$30,"Category","A")</t>
  </si>
  <si>
    <t>Requires a PivotTable, which this workbook does not carry.</t>
  </si>
  <si>
    <t>function:image</t>
  </si>
  <si>
    <t>IMAGE</t>
  </si>
  <si>
    <t>=IMAGE(COMPLEX(3,4))</t>
  </si>
  <si>
    <t>Requires an external image URL.</t>
  </si>
  <si>
    <t>function:info</t>
  </si>
  <si>
    <t>INFO</t>
  </si>
  <si>
    <t>=INFO("osversion")</t>
  </si>
  <si>
    <t>Result depends on the host operating system and build.</t>
  </si>
  <si>
    <t>function:jis</t>
  </si>
  <si>
    <t>JIS</t>
  </si>
  <si>
    <t>=JIS("CellRune Oracle 2026")</t>
  </si>
  <si>
    <t>Neither required English-UI profile resolves the locale-dependent JIS name.</t>
  </si>
  <si>
    <t>function:now</t>
  </si>
  <si>
    <t>Volatile exclusion</t>
  </si>
  <si>
    <t>NOW</t>
  </si>
  <si>
    <t>Catalogued but inactive because recalculation changes the value</t>
  </si>
  <si>
    <t>=NOW(DATE(2026,7,27))</t>
  </si>
  <si>
    <t>Volatile current-time function excluded by the oracle plan.</t>
  </si>
  <si>
    <t>function:rand</t>
  </si>
  <si>
    <t>RAND</t>
  </si>
  <si>
    <t>=RAND(0.5)</t>
  </si>
  <si>
    <t>Volatile random function excluded by the oracle plan.</t>
  </si>
  <si>
    <t>function:randarray</t>
  </si>
  <si>
    <t>RANDARRAY</t>
  </si>
  <si>
    <t>=RANDARRAY(0.5)</t>
  </si>
  <si>
    <t>Volatile random-array function excluded by the oracle plan.</t>
  </si>
  <si>
    <t>function:randbetween</t>
  </si>
  <si>
    <t>RANDBETWEEN</t>
  </si>
  <si>
    <t>=RANDBETWEEN(0.5)</t>
  </si>
  <si>
    <t>function:register-id</t>
  </si>
  <si>
    <t>REGISTER.ID</t>
  </si>
  <si>
    <t>=REGISTER.ID(0.5)</t>
  </si>
  <si>
    <t>Native add-in registration is host-dependent.</t>
  </si>
  <si>
    <t>function:rtd</t>
  </si>
  <si>
    <t>RTD</t>
  </si>
  <si>
    <t>=RTD(0.5)</t>
  </si>
  <si>
    <t>Requires a live COM automation server.</t>
  </si>
  <si>
    <t>function:stockhistory</t>
  </si>
  <si>
    <t>STOCKHISTORY</t>
  </si>
  <si>
    <t>=STOCKHISTORY(0.5)</t>
  </si>
  <si>
    <t>Requires an external market-data service.</t>
  </si>
  <si>
    <t>function:today</t>
  </si>
  <si>
    <t>TODAY</t>
  </si>
  <si>
    <t>=TODAY(DATE(2026,7,27))</t>
  </si>
  <si>
    <t>Volatile current-date function excluded by the oracle plan.</t>
  </si>
  <si>
    <t>function:translate</t>
  </si>
  <si>
    <t>TRANSLATE</t>
  </si>
  <si>
    <t>=TRANSLATE(0.5)</t>
  </si>
  <si>
    <t>function:webservice</t>
  </si>
  <si>
    <t>WEBSERVICE</t>
  </si>
  <si>
    <t>=WEBSERVICE(0.5)</t>
  </si>
  <si>
    <t>Requires an external network request.</t>
  </si>
  <si>
    <t>curated:unsupported:c001</t>
  </si>
  <si>
    <t>=LET(x,'SharedData'!$E$6:$E$25,SUM(FILTER(x,x&gt;100)))</t>
  </si>
  <si>
    <t>not_implemented</t>
  </si>
  <si>
    <t>curated:unsupported:c002</t>
  </si>
  <si>
    <t>=LET(a,'SharedData'!$E$6,b,'SharedData'!$F$6,c,a*b,c+a)</t>
  </si>
  <si>
    <t>curated:unsupported:c003</t>
  </si>
  <si>
    <t>=LAMBDA(x,x+1)(5)</t>
  </si>
  <si>
    <t>curated:unsupported:c004</t>
  </si>
  <si>
    <t>=LAMBDA(x,y,x*y)(6,7)</t>
  </si>
  <si>
    <t>curated:unsupported:c005</t>
  </si>
  <si>
    <t>=SUM(Arithmetic:TextDate!F5)</t>
  </si>
  <si>
    <t>curated:unsupported:c006</t>
  </si>
  <si>
    <t>=COUNT(Arithmetic:TextDate!F5)</t>
  </si>
  <si>
    <t>curated:unsupported:c007</t>
  </si>
  <si>
    <t>curated:unsupported:c008</t>
  </si>
  <si>
    <t>=AVERAGEIFS(DataTable[Amount],DataTable[Category],"A")</t>
  </si>
  <si>
    <t>curated:unsupported:c009</t>
  </si>
  <si>
    <t>=XLOOKUP("K010",DataTable[Key],DataTable[Amount])</t>
  </si>
  <si>
    <t>curated:unsupported:c010</t>
  </si>
  <si>
    <t>=SUMPRODUCT(DataTable[Amount],DataTable[Quantity])</t>
  </si>
  <si>
    <t>curated:unsupported:c011</t>
  </si>
  <si>
    <t>=SUM(DataTable[[Amount]:[Quantity]])</t>
  </si>
  <si>
    <t>curated:unsupported:c012</t>
  </si>
  <si>
    <t>=GROUPBY(DataTable[Category],DataTable[Amount],SUM)</t>
  </si>
  <si>
    <t>curated:unsupported:c013</t>
  </si>
  <si>
    <t>=PIVOTBY(DataTable[Category],DataTable[Flag],DataTable[Amount],SUM)</t>
  </si>
  <si>
    <t>curated:unsupported:c014</t>
  </si>
  <si>
    <t>curated:unsupported:c015</t>
  </si>
  <si>
    <t>=SUM('SharedData'!T:T*'SharedData'!U:U)</t>
  </si>
  <si>
    <t>curated:unsupported:c016</t>
  </si>
  <si>
    <t>=SUM('SharedData'!T:T*'SharedData'!V:V)</t>
  </si>
  <si>
    <t>curated:unsupported:c017</t>
  </si>
  <si>
    <t>=SUM(SpanStart:SpanEnd!A1)</t>
  </si>
  <si>
    <t>curated:unsupported:c018</t>
  </si>
  <si>
    <t>=SUM(SpanStart:SpanEnd!A:A)</t>
  </si>
  <si>
    <t>curated:unsupported:c019</t>
  </si>
  <si>
    <t>=INDEX(SpanStart:SpanEnd!A1:A5,1)</t>
  </si>
  <si>
    <t>curated:unsupported:c020</t>
  </si>
  <si>
    <t>=VLOOKUP(1,SpanStart:SpanEnd!A1:B5,2,FALSE)</t>
  </si>
  <si>
    <t>curated:unsupported:c021</t>
  </si>
  <si>
    <t>=TABLE(input_row,input_col)</t>
  </si>
  <si>
    <t>What-if data table. Must be created in Excel (Data ▸ What-If Analysis ▸ Data Table); see the runbook.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</si>
</sst>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00000000000"/>
  </numFmts>
  <fonts count="5">
    <font>
      <sz val="11"/>
      <color rgb="FF1F2937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sz val="10"/>
      <color rgb="FF1D4ED8"/>
      <name val="Aptos"/>
    </font>
    <font>
      <i/>
      <sz val="10"/>
      <color rgb="FF6B728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vertical="top" wrapText="1"/>
    </xf>
    <xf numFmtId="177" fontId="3" fillId="4" borderId="1" xfId="0" applyNumberFormat="1" applyFon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표준" xfId="0" builtinId="0"/>
  </cellStyles>
  <dxfs count="10"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en-US" sz="1200" b="1"/>
              <a:t>Active oracle formulas by sheet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Active formulas</c:v>
          </c:tx>
          <c:spPr>
            <a:solidFill>
              <a:srgbClr val="1D4ED8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Overview!$A$8:$A$17</c:f>
              <c:strCache>
                <c:ptCount val="10"/>
                <c:pt idx="0">
                  <c:v>Arithmetic</c:v>
                </c:pt>
                <c:pt idx="1">
                  <c:v>Aggregates</c:v>
                </c:pt>
                <c:pt idx="2">
                  <c:v>ArraysCSE</c:v>
                </c:pt>
                <c:pt idx="3">
                  <c:v>ArraysDynamic</c:v>
                </c:pt>
                <c:pt idx="4">
                  <c:v>Intersection</c:v>
                </c:pt>
                <c:pt idx="5">
                  <c:v>Financial</c:v>
                </c:pt>
                <c:pt idx="6">
                  <c:v>Lookup</c:v>
                </c:pt>
                <c:pt idx="7">
                  <c:v>TextDate</c:v>
                </c:pt>
                <c:pt idx="8">
                  <c:v>Errors</c:v>
                </c:pt>
                <c:pt idx="9">
                  <c:v>Unsupported</c:v>
                </c:pt>
              </c:strCache>
            </c:strRef>
          </c:cat>
          <c:val>
            <c:numRef>
              <c:f>Overview!$B$8:$B$17</c:f>
              <c:numCache>
                <c:formatCode>0.000000000000000</c:formatCode>
                <c:ptCount val="10"/>
                <c:pt idx="0">
                  <c:v>162</c:v>
                </c:pt>
                <c:pt idx="1">
                  <c:v>174</c:v>
                </c:pt>
                <c:pt idx="2">
                  <c:v>16</c:v>
                </c:pt>
                <c:pt idx="3">
                  <c:v>65</c:v>
                </c:pt>
                <c:pt idx="4">
                  <c:v>11</c:v>
                </c:pt>
                <c:pt idx="5">
                  <c:v>61</c:v>
                </c:pt>
                <c:pt idx="6">
                  <c:v>34</c:v>
                </c:pt>
                <c:pt idx="7">
                  <c:v>86</c:v>
                </c:pt>
                <c:pt idx="8">
                  <c:v>43</c:v>
                </c:pt>
                <c:pt idx="9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CA-4036-A190-77B374BD3566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/>
        <c:numFmt formatCode="0" sourceLinked="0"/>
        <c:majorTickMark val="cross"/>
        <c:minorTickMark val="cross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overage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8</v>
    <v>3</v>
    <v>1</v>
  </rv>
  <rv s="0">
    <v>14</v>
    <v>8</v>
    <v>0</v>
    <v>1</v>
  </rv>
  <rv s="1">
    <v>8</v>
    <v>1</v>
  </rv>
  <rv s="2">
    <v>1</v>
    <v>2</v>
    <v>19</v>
  </rv>
</rvData>
</file>

<file path=xl/richData/rdrichvaluestructure.xml><?xml version="1.0" encoding="utf-8"?>
<rvStructures xmlns="http://schemas.microsoft.com/office/spreadsheetml/2017/richdata" count="3">
  <s t="_error">
    <k n="colOffset" t="i"/>
    <k n="errorType" t="i"/>
    <k n="rwOffset" t="i"/>
    <k n="subType" t="i"/>
  </s>
  <s t="_error">
    <k n="errorType" t="i"/>
    <k n="propagated" t="b"/>
  </s>
  <s t="_error">
    <k n="argument" t="s"/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30:F50" totalsRowShown="0">
  <autoFilter ref="A30:F50" xr:uid="{00000000-0009-0000-0100-000001000000}"/>
  <tableColumns count="6">
    <tableColumn id="1" xr3:uid="{00000000-0010-0000-0000-000001000000}" name="Key"/>
    <tableColumn id="2" xr3:uid="{00000000-0010-0000-0000-000002000000}" name="Category"/>
    <tableColumn id="3" xr3:uid="{00000000-0010-0000-0000-000003000000}" name="Date"/>
    <tableColumn id="4" xr3:uid="{00000000-0010-0000-0000-000004000000}" name="Amount"/>
    <tableColumn id="5" xr3:uid="{00000000-0010-0000-0000-000005000000}" name="Quantity"/>
    <tableColumn id="6" xr3:uid="{00000000-0010-0000-0000-000006000000}" name="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8"/>
  <cols>
    <col min="1" max="1" width="24" customWidth="1"/>
    <col min="2" max="4" width="22" customWidth="1"/>
    <col min="5" max="5" width="74" customWidth="1"/>
    <col min="6" max="6" width="3" customWidth="1"/>
    <col min="7" max="11" width="20" customWidth="1"/>
    <col min="12" max="18" width="12" customWidth="1"/>
  </cols>
  <sheetData>
    <row r="1" spans="1:18" ht="36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32.1" customHeight="1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4" spans="1:18" ht="27.95" customHeight="1">
      <c r="A4" s="1" t="s">
        <v>2</v>
      </c>
      <c r="B4" s="3">
        <f>SUM(B8:B17)</f>
        <v>672</v>
      </c>
      <c r="C4" s="8"/>
      <c r="D4" s="1" t="s">
        <v>3</v>
      </c>
      <c r="E4" s="3">
        <v>522</v>
      </c>
      <c r="F4" s="8"/>
      <c r="G4" s="1" t="s">
        <v>4</v>
      </c>
      <c r="H4" s="3">
        <v>279</v>
      </c>
      <c r="I4" s="8"/>
      <c r="J4" s="1" t="s">
        <v>5</v>
      </c>
      <c r="K4" s="5">
        <f>E4/H4</f>
        <v>1.8709677419354838</v>
      </c>
      <c r="L4" s="8"/>
      <c r="M4" s="8"/>
      <c r="N4" s="8"/>
      <c r="O4" s="8"/>
      <c r="P4" s="8"/>
      <c r="Q4" s="8"/>
      <c r="R4" s="8"/>
    </row>
    <row r="5" spans="1:18" ht="27.95" customHeight="1">
      <c r="A5" s="1" t="s">
        <v>6</v>
      </c>
      <c r="B5" s="3">
        <v>494</v>
      </c>
      <c r="C5" s="8"/>
      <c r="D5" s="1" t="s">
        <v>7</v>
      </c>
      <c r="E5" s="3">
        <v>28</v>
      </c>
      <c r="F5" s="8"/>
      <c r="G5" s="1" t="s">
        <v>8</v>
      </c>
      <c r="H5" s="9" t="s">
        <v>9</v>
      </c>
      <c r="I5" s="8"/>
      <c r="J5" s="1" t="s">
        <v>10</v>
      </c>
      <c r="K5" s="9" t="s">
        <v>11</v>
      </c>
      <c r="L5" s="8"/>
      <c r="M5" s="8"/>
      <c r="N5" s="8"/>
      <c r="O5" s="8"/>
      <c r="P5" s="8"/>
      <c r="Q5" s="8"/>
      <c r="R5" s="8"/>
    </row>
    <row r="7" spans="1:18" ht="26.1" customHeight="1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8" customHeight="1">
      <c r="A8" s="9" t="s">
        <v>17</v>
      </c>
      <c r="B8" s="3">
        <f>Arithmetic!$S$4</f>
        <v>162</v>
      </c>
      <c r="C8" s="3">
        <f>Arithmetic!$S$3</f>
        <v>162</v>
      </c>
      <c r="D8" s="3">
        <v>200</v>
      </c>
      <c r="E8" s="9" t="s">
        <v>18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8" customHeight="1">
      <c r="A9" s="9" t="s">
        <v>19</v>
      </c>
      <c r="B9" s="3">
        <f>Aggregates!$S$4</f>
        <v>174</v>
      </c>
      <c r="C9" s="3">
        <f>Aggregates!$S$3</f>
        <v>174</v>
      </c>
      <c r="D9" s="3">
        <v>214</v>
      </c>
      <c r="E9" s="9" t="s">
        <v>20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18" customHeight="1">
      <c r="A10" s="9" t="s">
        <v>21</v>
      </c>
      <c r="B10" s="3">
        <f>ArraysCSE!$S$4</f>
        <v>16</v>
      </c>
      <c r="C10" s="3">
        <f>ArraysCSE!$S$3</f>
        <v>16</v>
      </c>
      <c r="D10" s="3">
        <v>23</v>
      </c>
      <c r="E10" s="9" t="s">
        <v>22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18" customHeight="1">
      <c r="A11" s="9" t="s">
        <v>23</v>
      </c>
      <c r="B11" s="3">
        <f>ArraysDynamic!$S$4</f>
        <v>65</v>
      </c>
      <c r="C11" s="3">
        <f>ArraysDynamic!$S$3</f>
        <v>65</v>
      </c>
      <c r="D11" s="3">
        <v>83</v>
      </c>
      <c r="E11" s="9" t="s">
        <v>24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18" customHeight="1">
      <c r="A12" s="9" t="s">
        <v>25</v>
      </c>
      <c r="B12" s="3">
        <f>Intersection!$S$4</f>
        <v>11</v>
      </c>
      <c r="C12" s="3">
        <f>Intersection!$S$3</f>
        <v>11</v>
      </c>
      <c r="D12" s="3">
        <v>17</v>
      </c>
      <c r="E12" s="9" t="s">
        <v>26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18" customHeight="1">
      <c r="A13" s="9" t="s">
        <v>27</v>
      </c>
      <c r="B13" s="3">
        <f>Financial!$S$4</f>
        <v>61</v>
      </c>
      <c r="C13" s="3">
        <f>Financial!$S$3</f>
        <v>61</v>
      </c>
      <c r="D13" s="3">
        <v>78</v>
      </c>
      <c r="E13" s="9" t="s">
        <v>28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18" customHeight="1">
      <c r="A14" s="9" t="s">
        <v>29</v>
      </c>
      <c r="B14" s="3">
        <f>Lookup!$S$4</f>
        <v>34</v>
      </c>
      <c r="C14" s="3">
        <f>Lookup!$S$3</f>
        <v>34</v>
      </c>
      <c r="D14" s="3">
        <v>45</v>
      </c>
      <c r="E14" s="9" t="s">
        <v>30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8" customHeight="1">
      <c r="A15" s="9" t="s">
        <v>31</v>
      </c>
      <c r="B15" s="3">
        <f>TextDate!$S$4</f>
        <v>86</v>
      </c>
      <c r="C15" s="3">
        <f>TextDate!$S$3</f>
        <v>86</v>
      </c>
      <c r="D15" s="3">
        <v>108</v>
      </c>
      <c r="E15" s="9" t="s">
        <v>32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8" customHeight="1">
      <c r="A16" s="9" t="s">
        <v>33</v>
      </c>
      <c r="B16" s="3">
        <f>Errors!$S$4</f>
        <v>43</v>
      </c>
      <c r="C16" s="3">
        <f>Errors!$S$3</f>
        <v>45</v>
      </c>
      <c r="D16" s="3">
        <v>56</v>
      </c>
      <c r="E16" s="9" t="s">
        <v>34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5" ht="18" customHeight="1">
      <c r="A17" s="9" t="s">
        <v>35</v>
      </c>
      <c r="B17" s="3">
        <f>Unsupported!$S$4</f>
        <v>20</v>
      </c>
      <c r="C17" s="3">
        <f>Unsupported!$S$3</f>
        <v>49</v>
      </c>
      <c r="D17" s="3">
        <v>26</v>
      </c>
      <c r="E17" s="9" t="s">
        <v>36</v>
      </c>
    </row>
    <row r="20" spans="1:5" ht="27.95" customHeight="1">
      <c r="A20" s="1" t="s">
        <v>37</v>
      </c>
      <c r="B20" s="12" t="s">
        <v>38</v>
      </c>
      <c r="C20" s="11"/>
      <c r="D20" s="11"/>
      <c r="E20" s="11"/>
    </row>
    <row r="21" spans="1:5" ht="24" customHeight="1">
      <c r="A21" s="1" t="s">
        <v>39</v>
      </c>
      <c r="B21" s="13" t="s">
        <v>40</v>
      </c>
      <c r="C21" s="11"/>
      <c r="D21" s="11"/>
      <c r="E21" s="11"/>
    </row>
    <row r="23" spans="1:5" ht="27.95" customHeight="1">
      <c r="A23" s="1" t="s">
        <v>41</v>
      </c>
      <c r="B23" s="12" t="s">
        <v>42</v>
      </c>
      <c r="C23" s="11"/>
      <c r="D23" s="11"/>
      <c r="E23" s="11"/>
    </row>
    <row r="25" spans="1:5" ht="24" customHeight="1">
      <c r="A25" s="1" t="s">
        <v>43</v>
      </c>
      <c r="B25" s="3">
        <f>SUM(Arithmetic!$P$5,Aggregates!$P$5,ArraysCSE!$P$5,ArraysDynamic!$P$5,Intersection!$P$5,Financial!$P$5,Lookup!$P$5,TextDate!$P$5,Errors!$P$5,Unsupported!$P$5)</f>
        <v>1900.6004500000004</v>
      </c>
      <c r="C25" s="8"/>
      <c r="D25" s="8"/>
      <c r="E25" s="8"/>
    </row>
  </sheetData>
  <mergeCells count="5">
    <mergeCell ref="A1:R1"/>
    <mergeCell ref="A2:R2"/>
    <mergeCell ref="B20:E20"/>
    <mergeCell ref="B21:E21"/>
    <mergeCell ref="B23:E23"/>
  </mergeCells>
  <pageMargins left="0.3" right="0.3" top="0.5" bottom="0.5" header="0.2" footer="0.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8"/>
  <cols>
    <col min="1" max="4" width="14" customWidth="1"/>
    <col min="5" max="7" width="13" customWidth="1"/>
    <col min="8" max="8" width="20" customWidth="1"/>
    <col min="9" max="14" width="16" customWidth="1"/>
  </cols>
  <sheetData>
    <row r="1" spans="1:22" ht="32.1" customHeight="1">
      <c r="A1" s="10" t="s">
        <v>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8"/>
      <c r="P1" s="1" t="s">
        <v>45</v>
      </c>
      <c r="Q1" s="8"/>
      <c r="R1" s="1" t="s">
        <v>46</v>
      </c>
      <c r="S1" s="9" t="s">
        <v>47</v>
      </c>
      <c r="T1" s="8"/>
      <c r="U1" s="8"/>
      <c r="V1" s="8"/>
    </row>
    <row r="2" spans="1:22" ht="24" customHeight="1">
      <c r="A2" s="12" t="s">
        <v>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3" t="str">
        <f ca="1">O3+1</f>
        <v/>
      </c>
      <c r="P2" s="3" cm="1">
        <f t="array" ref="P2:P6">_xlfn.SEQUENCE(5)</f>
        <v>1</v>
      </c>
      <c r="Q2" s="8"/>
      <c r="R2" s="3" t="e" cm="1" vm="1">
        <f t="array" aca="1" ref="R2" ca="1">_xlfn.SEQUENCE(4)</f>
        <v>#VALUE!</v>
      </c>
      <c r="S2" s="8"/>
      <c r="T2" s="8"/>
      <c r="U2" s="8"/>
      <c r="V2" s="8"/>
    </row>
    <row r="3" spans="1:22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3" t="str">
        <f ca="1">O2+1</f>
        <v/>
      </c>
      <c r="P3" s="8">
        <v>2</v>
      </c>
      <c r="Q3" s="8"/>
      <c r="R3" s="8"/>
      <c r="S3" s="8"/>
      <c r="T3" s="8"/>
      <c r="U3" s="8"/>
      <c r="V3" s="8"/>
    </row>
    <row r="4" spans="1:22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>
        <v>3</v>
      </c>
      <c r="Q4" s="8"/>
      <c r="R4" s="8" t="s">
        <v>49</v>
      </c>
      <c r="S4" s="8"/>
      <c r="T4" s="8"/>
      <c r="U4" s="8"/>
      <c r="V4" s="8"/>
    </row>
    <row r="5" spans="1:22" ht="26.1" customHeight="1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8"/>
      <c r="P5" s="8">
        <v>4</v>
      </c>
      <c r="Q5" s="8"/>
      <c r="R5" s="8"/>
      <c r="S5" s="8"/>
      <c r="T5" s="8"/>
      <c r="U5" s="8"/>
      <c r="V5" s="8"/>
    </row>
    <row r="6" spans="1:22" ht="18" customHeight="1">
      <c r="A6" s="3">
        <v>0.1</v>
      </c>
      <c r="B6" s="9" t="s">
        <v>64</v>
      </c>
      <c r="C6" s="9" t="s">
        <v>65</v>
      </c>
      <c r="D6" s="4">
        <v>43831</v>
      </c>
      <c r="E6" s="3">
        <v>10</v>
      </c>
      <c r="F6" s="3">
        <v>1</v>
      </c>
      <c r="G6" s="9" t="b">
        <v>1</v>
      </c>
      <c r="H6" s="9"/>
      <c r="I6" s="3">
        <v>1</v>
      </c>
      <c r="J6" s="3">
        <f>I6*2+3</f>
        <v>5</v>
      </c>
      <c r="K6" s="5">
        <v>0.05</v>
      </c>
      <c r="L6" s="3">
        <v>-1000</v>
      </c>
      <c r="M6" s="4">
        <v>43831</v>
      </c>
      <c r="N6" s="9" t="s">
        <v>66</v>
      </c>
      <c r="O6" s="8"/>
      <c r="P6" s="8">
        <v>5</v>
      </c>
      <c r="Q6" s="8"/>
      <c r="R6" s="8"/>
      <c r="S6" s="8"/>
      <c r="T6" s="3">
        <v>1</v>
      </c>
      <c r="U6" s="3">
        <v>2</v>
      </c>
      <c r="V6" s="3">
        <v>1</v>
      </c>
    </row>
    <row r="7" spans="1:22" ht="18" customHeight="1">
      <c r="A7" s="3">
        <v>0.2</v>
      </c>
      <c r="B7" s="9" t="s">
        <v>67</v>
      </c>
      <c r="C7" s="9" t="s">
        <v>68</v>
      </c>
      <c r="D7" s="4">
        <v>43862</v>
      </c>
      <c r="E7" s="3">
        <v>20</v>
      </c>
      <c r="F7" s="3">
        <v>2</v>
      </c>
      <c r="G7" s="9" t="b">
        <v>0</v>
      </c>
      <c r="H7" s="9" t="s">
        <v>69</v>
      </c>
      <c r="I7" s="3">
        <v>2</v>
      </c>
      <c r="J7" s="3">
        <f>I7*2+3</f>
        <v>7</v>
      </c>
      <c r="K7" s="5">
        <v>0.05</v>
      </c>
      <c r="L7" s="3">
        <v>180</v>
      </c>
      <c r="M7" s="4">
        <v>44012</v>
      </c>
      <c r="N7" s="9" t="s">
        <v>70</v>
      </c>
      <c r="O7" s="8"/>
      <c r="P7" s="8"/>
      <c r="Q7" s="8"/>
      <c r="R7" s="8"/>
      <c r="S7" s="8"/>
      <c r="T7" s="3">
        <v>2</v>
      </c>
      <c r="U7" s="3">
        <v>4</v>
      </c>
      <c r="V7" s="3">
        <v>2</v>
      </c>
    </row>
    <row r="8" spans="1:22" ht="18" customHeight="1">
      <c r="A8" s="3">
        <v>-0.3</v>
      </c>
      <c r="B8" s="9" t="s">
        <v>71</v>
      </c>
      <c r="C8" s="9" t="s">
        <v>72</v>
      </c>
      <c r="D8" s="4">
        <v>43893</v>
      </c>
      <c r="E8" s="3">
        <v>30</v>
      </c>
      <c r="F8" s="3">
        <v>3</v>
      </c>
      <c r="G8" s="9" t="b">
        <v>1</v>
      </c>
      <c r="H8" s="9" t="b">
        <v>1</v>
      </c>
      <c r="I8" s="3">
        <v>3</v>
      </c>
      <c r="J8" s="3">
        <f>I8*2+3</f>
        <v>9</v>
      </c>
      <c r="K8" s="5">
        <v>0.05</v>
      </c>
      <c r="L8" s="3">
        <v>220</v>
      </c>
      <c r="M8" s="4">
        <v>44193</v>
      </c>
      <c r="N8" s="9" t="s">
        <v>73</v>
      </c>
      <c r="O8" s="8"/>
      <c r="P8" s="8"/>
      <c r="Q8" s="8"/>
      <c r="R8" s="8"/>
      <c r="S8" s="8"/>
      <c r="T8" s="3">
        <v>3</v>
      </c>
      <c r="U8" s="3">
        <v>6</v>
      </c>
      <c r="V8" s="3">
        <v>3</v>
      </c>
    </row>
    <row r="9" spans="1:22" ht="18" customHeight="1">
      <c r="A9" s="3">
        <v>1</v>
      </c>
      <c r="B9" s="9" t="s">
        <v>74</v>
      </c>
      <c r="C9" s="9" t="s">
        <v>65</v>
      </c>
      <c r="D9" s="4">
        <v>43924</v>
      </c>
      <c r="E9" s="3">
        <v>40</v>
      </c>
      <c r="F9" s="3">
        <v>4</v>
      </c>
      <c r="G9" s="9" t="b">
        <v>0</v>
      </c>
      <c r="H9" s="9" t="b">
        <v>0</v>
      </c>
      <c r="I9" s="3">
        <v>4</v>
      </c>
      <c r="J9" s="3">
        <f>I9*2+3</f>
        <v>11</v>
      </c>
      <c r="K9" s="5">
        <v>0.05</v>
      </c>
      <c r="L9" s="3">
        <v>260</v>
      </c>
      <c r="M9" s="4">
        <v>44374</v>
      </c>
      <c r="N9" s="9" t="s">
        <v>75</v>
      </c>
      <c r="O9" s="8"/>
      <c r="P9" s="8"/>
      <c r="Q9" s="8"/>
      <c r="R9" s="8"/>
      <c r="S9" s="8"/>
      <c r="T9" s="3">
        <v>4</v>
      </c>
      <c r="U9" s="3">
        <v>8</v>
      </c>
      <c r="V9" s="3">
        <v>4</v>
      </c>
    </row>
    <row r="10" spans="1:22" ht="18" customHeight="1">
      <c r="A10" s="3">
        <v>2</v>
      </c>
      <c r="B10" s="9" t="s">
        <v>76</v>
      </c>
      <c r="C10" s="9" t="s">
        <v>68</v>
      </c>
      <c r="D10" s="4">
        <v>43955</v>
      </c>
      <c r="E10" s="3">
        <v>50</v>
      </c>
      <c r="F10" s="3">
        <v>5</v>
      </c>
      <c r="G10" s="9" t="b">
        <v>1</v>
      </c>
      <c r="H10" s="9">
        <v>0</v>
      </c>
      <c r="I10" s="3">
        <v>5</v>
      </c>
      <c r="J10" s="3">
        <f>I10*2+3</f>
        <v>13</v>
      </c>
      <c r="K10" s="5">
        <v>0.05</v>
      </c>
      <c r="L10" s="3">
        <v>300</v>
      </c>
      <c r="M10" s="4">
        <v>44555</v>
      </c>
      <c r="N10" s="9" t="s">
        <v>77</v>
      </c>
      <c r="O10" s="8"/>
      <c r="P10" s="8"/>
      <c r="Q10" s="8"/>
      <c r="R10" s="8"/>
      <c r="S10" s="8"/>
      <c r="T10" s="3">
        <v>5</v>
      </c>
      <c r="U10" s="3">
        <v>10</v>
      </c>
      <c r="V10" s="3">
        <v>5</v>
      </c>
    </row>
    <row r="11" spans="1:22" ht="18" customHeight="1">
      <c r="A11" s="3">
        <v>3</v>
      </c>
      <c r="B11" s="9" t="s">
        <v>78</v>
      </c>
      <c r="C11" s="9" t="s">
        <v>72</v>
      </c>
      <c r="D11" s="4">
        <v>43986</v>
      </c>
      <c r="E11" s="3">
        <v>60</v>
      </c>
      <c r="F11" s="3">
        <v>6</v>
      </c>
      <c r="G11" s="9" t="b">
        <v>0</v>
      </c>
      <c r="H11" s="9" t="s">
        <v>79</v>
      </c>
      <c r="I11" s="3">
        <v>6</v>
      </c>
      <c r="J11" s="3">
        <f>I11*2+3</f>
        <v>15</v>
      </c>
      <c r="K11" s="5">
        <v>0.05</v>
      </c>
      <c r="L11" s="3">
        <v>340</v>
      </c>
      <c r="M11" s="4">
        <v>44736</v>
      </c>
      <c r="N11" s="9" t="s">
        <v>80</v>
      </c>
      <c r="O11" s="8"/>
      <c r="P11" s="8"/>
      <c r="Q11" s="8"/>
      <c r="R11" s="8"/>
      <c r="S11" s="8"/>
      <c r="T11" s="3">
        <v>6</v>
      </c>
      <c r="U11" s="3">
        <v>12</v>
      </c>
      <c r="V11" s="3">
        <v>6</v>
      </c>
    </row>
    <row r="12" spans="1:22" ht="18" customHeight="1">
      <c r="A12" s="3">
        <v>4</v>
      </c>
      <c r="B12" s="9" t="s">
        <v>81</v>
      </c>
      <c r="C12" s="9" t="s">
        <v>65</v>
      </c>
      <c r="D12" s="4">
        <v>44017</v>
      </c>
      <c r="E12" s="3">
        <v>70</v>
      </c>
      <c r="F12" s="3">
        <v>7</v>
      </c>
      <c r="G12" s="9" t="b">
        <v>1</v>
      </c>
      <c r="H12" s="9"/>
      <c r="I12" s="3">
        <v>7</v>
      </c>
      <c r="J12" s="3">
        <f>I12*2+3</f>
        <v>17</v>
      </c>
      <c r="K12" s="5">
        <v>0.05</v>
      </c>
      <c r="L12" s="3">
        <v>380</v>
      </c>
      <c r="M12" s="4">
        <v>44917</v>
      </c>
      <c r="N12" s="9" t="s">
        <v>82</v>
      </c>
      <c r="O12" s="8"/>
      <c r="P12" s="8"/>
      <c r="Q12" s="8"/>
      <c r="R12" s="8"/>
      <c r="S12" s="8"/>
      <c r="T12" s="3">
        <v>7</v>
      </c>
      <c r="U12" s="3">
        <v>14</v>
      </c>
      <c r="V12" s="3">
        <v>7</v>
      </c>
    </row>
    <row r="13" spans="1:22" ht="18" customHeight="1">
      <c r="A13" s="3">
        <v>5</v>
      </c>
      <c r="B13" s="9" t="s">
        <v>83</v>
      </c>
      <c r="C13" s="9" t="s">
        <v>68</v>
      </c>
      <c r="D13" s="4">
        <v>44048</v>
      </c>
      <c r="E13" s="3">
        <v>80</v>
      </c>
      <c r="F13" s="3">
        <v>1</v>
      </c>
      <c r="G13" s="9" t="b">
        <v>0</v>
      </c>
      <c r="H13" s="9" t="s">
        <v>84</v>
      </c>
      <c r="I13" s="3">
        <v>8</v>
      </c>
      <c r="J13" s="3">
        <f>I13*2+3</f>
        <v>19</v>
      </c>
      <c r="K13" s="5">
        <v>0.05</v>
      </c>
      <c r="L13" s="3">
        <v>-50</v>
      </c>
      <c r="M13" s="4">
        <v>45098</v>
      </c>
      <c r="N13" s="9" t="s">
        <v>85</v>
      </c>
      <c r="O13" s="8"/>
      <c r="P13" s="8"/>
      <c r="Q13" s="8"/>
      <c r="R13" s="8"/>
      <c r="S13" s="8"/>
      <c r="T13" s="3">
        <v>8</v>
      </c>
      <c r="U13" s="3">
        <v>16</v>
      </c>
      <c r="V13" s="3">
        <v>8</v>
      </c>
    </row>
    <row r="14" spans="1:22" ht="18" customHeight="1">
      <c r="A14" s="3">
        <v>10</v>
      </c>
      <c r="B14" s="9" t="s">
        <v>86</v>
      </c>
      <c r="C14" s="9" t="s">
        <v>72</v>
      </c>
      <c r="D14" s="4">
        <v>44079</v>
      </c>
      <c r="E14" s="3">
        <v>90</v>
      </c>
      <c r="F14" s="3">
        <v>2</v>
      </c>
      <c r="G14" s="9" t="b">
        <v>1</v>
      </c>
      <c r="H14" s="9" t="b">
        <v>1</v>
      </c>
      <c r="I14" s="3">
        <v>9</v>
      </c>
      <c r="J14" s="3">
        <f>I14*2+3</f>
        <v>21</v>
      </c>
      <c r="K14" s="5">
        <v>0.05</v>
      </c>
      <c r="L14" s="3">
        <v>420</v>
      </c>
      <c r="M14" s="4">
        <v>45279</v>
      </c>
      <c r="N14" s="9" t="s">
        <v>87</v>
      </c>
      <c r="O14" s="8"/>
      <c r="P14" s="8"/>
      <c r="Q14" s="8"/>
      <c r="R14" s="8"/>
      <c r="S14" s="8"/>
      <c r="T14" s="3">
        <v>9</v>
      </c>
      <c r="U14" s="3">
        <v>18</v>
      </c>
      <c r="V14" s="3">
        <v>9</v>
      </c>
    </row>
    <row r="15" spans="1:22" ht="18" customHeight="1">
      <c r="A15" s="3">
        <v>-10</v>
      </c>
      <c r="B15" s="9" t="s">
        <v>88</v>
      </c>
      <c r="C15" s="9" t="s">
        <v>65</v>
      </c>
      <c r="D15" s="4">
        <v>44110</v>
      </c>
      <c r="E15" s="3">
        <v>100</v>
      </c>
      <c r="F15" s="3">
        <v>3</v>
      </c>
      <c r="G15" s="9" t="b">
        <v>0</v>
      </c>
      <c r="H15" s="9">
        <v>-1</v>
      </c>
      <c r="I15" s="3">
        <v>10</v>
      </c>
      <c r="J15" s="3">
        <f>I15*2+3</f>
        <v>23</v>
      </c>
      <c r="K15" s="5">
        <v>0.05</v>
      </c>
      <c r="L15" s="3">
        <v>500</v>
      </c>
      <c r="M15" s="4">
        <v>45460</v>
      </c>
      <c r="N15" s="9" t="s">
        <v>89</v>
      </c>
      <c r="O15" s="8"/>
      <c r="P15" s="8"/>
      <c r="Q15" s="8"/>
      <c r="R15" s="8"/>
      <c r="S15" s="8"/>
      <c r="T15" s="3">
        <v>10</v>
      </c>
      <c r="U15" s="3">
        <v>20</v>
      </c>
      <c r="V15" s="3">
        <v>10</v>
      </c>
    </row>
    <row r="16" spans="1:22" ht="18" customHeight="1">
      <c r="A16" s="3">
        <v>25</v>
      </c>
      <c r="B16" s="9" t="s">
        <v>90</v>
      </c>
      <c r="C16" s="9" t="s">
        <v>68</v>
      </c>
      <c r="D16" s="4">
        <v>44141</v>
      </c>
      <c r="E16" s="3">
        <v>110</v>
      </c>
      <c r="F16" s="3">
        <v>4</v>
      </c>
      <c r="G16" s="9" t="b">
        <v>1</v>
      </c>
      <c r="H16" s="9"/>
      <c r="I16" s="3">
        <v>11</v>
      </c>
      <c r="J16" s="3">
        <f>I16*2+3</f>
        <v>25</v>
      </c>
      <c r="K16" s="5">
        <v>0.05</v>
      </c>
      <c r="L16" s="3"/>
      <c r="M16" s="4"/>
      <c r="N16" s="9" t="s">
        <v>91</v>
      </c>
      <c r="O16" s="8"/>
      <c r="P16" s="8"/>
      <c r="Q16" s="8"/>
      <c r="R16" s="8"/>
      <c r="S16" s="8"/>
      <c r="T16" s="3">
        <v>11</v>
      </c>
      <c r="U16" s="3">
        <v>22</v>
      </c>
      <c r="V16" s="3">
        <v>11</v>
      </c>
    </row>
    <row r="17" spans="1:22" ht="18" customHeight="1">
      <c r="A17" s="3">
        <v>100</v>
      </c>
      <c r="B17" s="9" t="s">
        <v>92</v>
      </c>
      <c r="C17" s="9" t="s">
        <v>72</v>
      </c>
      <c r="D17" s="4">
        <v>44172</v>
      </c>
      <c r="E17" s="3">
        <v>120</v>
      </c>
      <c r="F17" s="3">
        <v>5</v>
      </c>
      <c r="G17" s="9" t="b">
        <v>0</v>
      </c>
      <c r="H17" s="9" t="s">
        <v>69</v>
      </c>
      <c r="I17" s="3">
        <v>12</v>
      </c>
      <c r="J17" s="3">
        <f>I17*2+3</f>
        <v>27</v>
      </c>
      <c r="K17" s="5">
        <v>0.05</v>
      </c>
      <c r="L17" s="3"/>
      <c r="M17" s="4"/>
      <c r="N17" s="9" t="s">
        <v>93</v>
      </c>
      <c r="O17" s="8"/>
      <c r="P17" s="8"/>
      <c r="Q17" s="8"/>
      <c r="R17" s="8"/>
      <c r="S17" s="8"/>
      <c r="T17" s="3">
        <v>12</v>
      </c>
      <c r="U17" s="3">
        <v>24</v>
      </c>
      <c r="V17" s="3">
        <v>12</v>
      </c>
    </row>
    <row r="18" spans="1:22" ht="18" customHeight="1">
      <c r="A18" s="3">
        <v>0</v>
      </c>
      <c r="B18" s="9" t="s">
        <v>94</v>
      </c>
      <c r="C18" s="9" t="s">
        <v>65</v>
      </c>
      <c r="D18" s="4">
        <v>44203</v>
      </c>
      <c r="E18" s="3">
        <v>130</v>
      </c>
      <c r="F18" s="3">
        <v>6</v>
      </c>
      <c r="G18" s="9" t="b">
        <v>1</v>
      </c>
      <c r="H18" s="9" t="b">
        <v>1</v>
      </c>
      <c r="I18" s="3">
        <v>13</v>
      </c>
      <c r="J18" s="3">
        <f>I18*2+3</f>
        <v>29</v>
      </c>
      <c r="K18" s="5">
        <v>0.05</v>
      </c>
      <c r="L18" s="3"/>
      <c r="M18" s="4"/>
      <c r="N18" s="9" t="s">
        <v>95</v>
      </c>
      <c r="O18" s="8"/>
      <c r="P18" s="8"/>
      <c r="Q18" s="8"/>
      <c r="R18" s="8"/>
      <c r="S18" s="8"/>
      <c r="T18" s="3">
        <v>13</v>
      </c>
      <c r="U18" s="3">
        <v>26</v>
      </c>
      <c r="V18" s="3"/>
    </row>
    <row r="19" spans="1:22" ht="18" customHeight="1">
      <c r="A19" s="3">
        <v>1.5</v>
      </c>
      <c r="B19" s="9" t="s">
        <v>96</v>
      </c>
      <c r="C19" s="9" t="s">
        <v>68</v>
      </c>
      <c r="D19" s="4">
        <v>44234</v>
      </c>
      <c r="E19" s="3">
        <v>140</v>
      </c>
      <c r="F19" s="3">
        <v>7</v>
      </c>
      <c r="G19" s="9" t="b">
        <v>0</v>
      </c>
      <c r="H19" s="9" t="b">
        <v>0</v>
      </c>
      <c r="I19" s="3">
        <v>14</v>
      </c>
      <c r="J19" s="3">
        <f>I19*2+3</f>
        <v>31</v>
      </c>
      <c r="K19" s="5">
        <v>0.05</v>
      </c>
      <c r="L19" s="3"/>
      <c r="M19" s="4"/>
      <c r="N19" s="9" t="s">
        <v>97</v>
      </c>
      <c r="O19" s="8"/>
      <c r="P19" s="8"/>
      <c r="Q19" s="8"/>
      <c r="R19" s="8"/>
      <c r="S19" s="8"/>
      <c r="T19" s="3">
        <v>14</v>
      </c>
      <c r="U19" s="3">
        <v>28</v>
      </c>
      <c r="V19" s="3"/>
    </row>
    <row r="20" spans="1:22" ht="18" customHeight="1">
      <c r="A20" s="3">
        <v>2.5</v>
      </c>
      <c r="B20" s="9" t="s">
        <v>98</v>
      </c>
      <c r="C20" s="9" t="s">
        <v>72</v>
      </c>
      <c r="D20" s="4">
        <v>44265</v>
      </c>
      <c r="E20" s="3">
        <v>150</v>
      </c>
      <c r="F20" s="3">
        <v>1</v>
      </c>
      <c r="G20" s="9" t="b">
        <v>1</v>
      </c>
      <c r="H20" s="9">
        <v>0</v>
      </c>
      <c r="I20" s="3">
        <v>15</v>
      </c>
      <c r="J20" s="3">
        <f>I20*2+3</f>
        <v>33</v>
      </c>
      <c r="K20" s="5">
        <v>0.05</v>
      </c>
      <c r="L20" s="3"/>
      <c r="M20" s="4"/>
      <c r="N20" s="9" t="s">
        <v>99</v>
      </c>
      <c r="O20" s="8"/>
      <c r="P20" s="8"/>
      <c r="Q20" s="8"/>
      <c r="R20" s="8"/>
      <c r="S20" s="8"/>
      <c r="T20" s="3">
        <v>15</v>
      </c>
      <c r="U20" s="3">
        <v>30</v>
      </c>
      <c r="V20" s="3"/>
    </row>
    <row r="21" spans="1:22" ht="18" customHeight="1">
      <c r="A21" s="3">
        <v>3.5</v>
      </c>
      <c r="B21" s="9" t="s">
        <v>100</v>
      </c>
      <c r="C21" s="9" t="s">
        <v>65</v>
      </c>
      <c r="D21" s="4">
        <v>44296</v>
      </c>
      <c r="E21" s="3">
        <v>160</v>
      </c>
      <c r="F21" s="3">
        <v>2</v>
      </c>
      <c r="G21" s="9" t="b">
        <v>0</v>
      </c>
      <c r="H21" s="9" t="s">
        <v>79</v>
      </c>
      <c r="I21" s="3">
        <v>16</v>
      </c>
      <c r="J21" s="3">
        <f>I21*2+3</f>
        <v>35</v>
      </c>
      <c r="K21" s="5">
        <v>0.05</v>
      </c>
      <c r="L21" s="3"/>
      <c r="M21" s="4"/>
      <c r="N21" s="9" t="s">
        <v>101</v>
      </c>
      <c r="O21" s="8"/>
      <c r="P21" s="8"/>
      <c r="Q21" s="8"/>
      <c r="R21" s="8"/>
      <c r="S21" s="8"/>
      <c r="T21" s="3">
        <v>16</v>
      </c>
      <c r="U21" s="3">
        <v>32</v>
      </c>
      <c r="V21" s="3"/>
    </row>
    <row r="22" spans="1:22" ht="18" customHeight="1">
      <c r="A22" s="3">
        <v>4.5</v>
      </c>
      <c r="B22" s="9" t="s">
        <v>102</v>
      </c>
      <c r="C22" s="9" t="s">
        <v>68</v>
      </c>
      <c r="D22" s="4">
        <v>44327</v>
      </c>
      <c r="E22" s="3">
        <v>170</v>
      </c>
      <c r="F22" s="3">
        <v>3</v>
      </c>
      <c r="G22" s="9" t="b">
        <v>1</v>
      </c>
      <c r="H22" s="9"/>
      <c r="I22" s="3">
        <v>17</v>
      </c>
      <c r="J22" s="3">
        <f>I22*2+3</f>
        <v>37</v>
      </c>
      <c r="K22" s="5">
        <v>0.05</v>
      </c>
      <c r="L22" s="3"/>
      <c r="M22" s="4"/>
      <c r="N22" s="9" t="s">
        <v>103</v>
      </c>
      <c r="O22" s="8"/>
      <c r="P22" s="8"/>
      <c r="Q22" s="8"/>
      <c r="R22" s="8"/>
      <c r="S22" s="8"/>
      <c r="T22" s="3">
        <v>17</v>
      </c>
      <c r="U22" s="3">
        <v>34</v>
      </c>
      <c r="V22" s="3"/>
    </row>
    <row r="23" spans="1:22" ht="18" customHeight="1">
      <c r="A23" s="3">
        <v>5.5</v>
      </c>
      <c r="B23" s="9" t="s">
        <v>104</v>
      </c>
      <c r="C23" s="9" t="s">
        <v>72</v>
      </c>
      <c r="D23" s="4">
        <v>44358</v>
      </c>
      <c r="E23" s="3">
        <v>180</v>
      </c>
      <c r="F23" s="3">
        <v>4</v>
      </c>
      <c r="G23" s="9" t="b">
        <v>0</v>
      </c>
      <c r="H23" s="9" t="s">
        <v>84</v>
      </c>
      <c r="I23" s="3">
        <v>18</v>
      </c>
      <c r="J23" s="3">
        <f>I23*2+3</f>
        <v>39</v>
      </c>
      <c r="K23" s="5">
        <v>0.05</v>
      </c>
      <c r="L23" s="3"/>
      <c r="M23" s="4"/>
      <c r="N23" s="9" t="s">
        <v>105</v>
      </c>
      <c r="O23" s="8"/>
      <c r="P23" s="8"/>
      <c r="Q23" s="8"/>
      <c r="R23" s="8"/>
      <c r="S23" s="8"/>
      <c r="T23" s="3">
        <v>18</v>
      </c>
      <c r="U23" s="3">
        <v>36</v>
      </c>
      <c r="V23" s="3"/>
    </row>
    <row r="24" spans="1:22" ht="18" customHeight="1">
      <c r="A24" s="3">
        <v>0.05</v>
      </c>
      <c r="B24" s="9" t="s">
        <v>106</v>
      </c>
      <c r="C24" s="9" t="s">
        <v>65</v>
      </c>
      <c r="D24" s="4">
        <v>44389</v>
      </c>
      <c r="E24" s="3">
        <v>190</v>
      </c>
      <c r="F24" s="3">
        <v>5</v>
      </c>
      <c r="G24" s="9" t="b">
        <v>1</v>
      </c>
      <c r="H24" s="9" t="b">
        <v>1</v>
      </c>
      <c r="I24" s="3">
        <v>19</v>
      </c>
      <c r="J24" s="3">
        <f>I24*2+3</f>
        <v>41</v>
      </c>
      <c r="K24" s="5">
        <v>0.05</v>
      </c>
      <c r="L24" s="3"/>
      <c r="M24" s="4"/>
      <c r="N24" s="9" t="s">
        <v>107</v>
      </c>
      <c r="O24" s="8"/>
      <c r="P24" s="8"/>
      <c r="Q24" s="8"/>
      <c r="R24" s="8"/>
      <c r="S24" s="8"/>
      <c r="T24" s="3">
        <v>19</v>
      </c>
      <c r="U24" s="3">
        <v>38</v>
      </c>
      <c r="V24" s="3"/>
    </row>
    <row r="25" spans="1:22" ht="18" customHeight="1">
      <c r="A25" s="3">
        <v>0.1</v>
      </c>
      <c r="B25" s="9" t="s">
        <v>108</v>
      </c>
      <c r="C25" s="9" t="s">
        <v>68</v>
      </c>
      <c r="D25" s="4">
        <v>44420</v>
      </c>
      <c r="E25" s="3">
        <v>200</v>
      </c>
      <c r="F25" s="3">
        <v>6</v>
      </c>
      <c r="G25" s="9" t="b">
        <v>0</v>
      </c>
      <c r="H25" s="9">
        <v>-1</v>
      </c>
      <c r="I25" s="3">
        <v>20</v>
      </c>
      <c r="J25" s="3">
        <f>I25*2+3</f>
        <v>43</v>
      </c>
      <c r="K25" s="5">
        <v>0.05</v>
      </c>
      <c r="L25" s="3"/>
      <c r="M25" s="4"/>
      <c r="N25" s="9" t="s">
        <v>109</v>
      </c>
      <c r="O25" s="8"/>
      <c r="P25" s="8"/>
      <c r="Q25" s="8"/>
      <c r="R25" s="8"/>
      <c r="S25" s="8"/>
      <c r="T25" s="3">
        <v>20</v>
      </c>
      <c r="U25" s="3">
        <v>40</v>
      </c>
      <c r="V25" s="3"/>
    </row>
    <row r="30" spans="1:22" ht="26.1" customHeight="1">
      <c r="A30" s="1" t="s">
        <v>51</v>
      </c>
      <c r="B30" s="1" t="s">
        <v>52</v>
      </c>
      <c r="C30" s="1" t="s">
        <v>53</v>
      </c>
      <c r="D30" s="1" t="s">
        <v>54</v>
      </c>
      <c r="E30" s="1" t="s">
        <v>55</v>
      </c>
      <c r="F30" s="1" t="s">
        <v>56</v>
      </c>
      <c r="G30" s="8"/>
      <c r="H30" s="1" t="s">
        <v>52</v>
      </c>
      <c r="I30" s="1" t="s">
        <v>54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8" customHeight="1">
      <c r="A31" s="9" t="s">
        <v>64</v>
      </c>
      <c r="B31" s="9" t="s">
        <v>65</v>
      </c>
      <c r="C31" s="4">
        <v>43831</v>
      </c>
      <c r="D31" s="3">
        <v>10</v>
      </c>
      <c r="E31" s="3">
        <v>1</v>
      </c>
      <c r="F31" s="9" t="b">
        <v>1</v>
      </c>
      <c r="G31" s="8"/>
      <c r="H31" s="9" t="s">
        <v>65</v>
      </c>
      <c r="I31" s="9" t="s">
        <v>110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8" customHeight="1">
      <c r="A32" s="9" t="s">
        <v>67</v>
      </c>
      <c r="B32" s="9" t="s">
        <v>68</v>
      </c>
      <c r="C32" s="4">
        <v>43862</v>
      </c>
      <c r="D32" s="3">
        <v>20</v>
      </c>
      <c r="E32" s="3">
        <v>2</v>
      </c>
      <c r="F32" s="9" t="b">
        <v>0</v>
      </c>
      <c r="G32" s="8"/>
      <c r="H32" s="9" t="s">
        <v>68</v>
      </c>
      <c r="I32" s="9" t="s">
        <v>111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6" ht="18" customHeight="1">
      <c r="A33" s="9" t="s">
        <v>71</v>
      </c>
      <c r="B33" s="9" t="s">
        <v>72</v>
      </c>
      <c r="C33" s="4">
        <v>43893</v>
      </c>
      <c r="D33" s="3">
        <v>30</v>
      </c>
      <c r="E33" s="3">
        <v>3</v>
      </c>
      <c r="F33" s="9" t="b">
        <v>1</v>
      </c>
    </row>
    <row r="34" spans="1:6" ht="18" customHeight="1">
      <c r="A34" s="9" t="s">
        <v>74</v>
      </c>
      <c r="B34" s="9" t="s">
        <v>65</v>
      </c>
      <c r="C34" s="4">
        <v>43924</v>
      </c>
      <c r="D34" s="3">
        <v>40</v>
      </c>
      <c r="E34" s="3">
        <v>4</v>
      </c>
      <c r="F34" s="9" t="b">
        <v>0</v>
      </c>
    </row>
    <row r="35" spans="1:6" ht="18" customHeight="1">
      <c r="A35" s="9" t="s">
        <v>76</v>
      </c>
      <c r="B35" s="9" t="s">
        <v>68</v>
      </c>
      <c r="C35" s="4">
        <v>43955</v>
      </c>
      <c r="D35" s="3">
        <v>50</v>
      </c>
      <c r="E35" s="3">
        <v>5</v>
      </c>
      <c r="F35" s="9" t="b">
        <v>1</v>
      </c>
    </row>
    <row r="36" spans="1:6" ht="18" customHeight="1">
      <c r="A36" s="9" t="s">
        <v>78</v>
      </c>
      <c r="B36" s="9" t="s">
        <v>72</v>
      </c>
      <c r="C36" s="4">
        <v>43986</v>
      </c>
      <c r="D36" s="3">
        <v>60</v>
      </c>
      <c r="E36" s="3">
        <v>6</v>
      </c>
      <c r="F36" s="9" t="b">
        <v>0</v>
      </c>
    </row>
    <row r="37" spans="1:6" ht="18" customHeight="1">
      <c r="A37" s="9" t="s">
        <v>81</v>
      </c>
      <c r="B37" s="9" t="s">
        <v>65</v>
      </c>
      <c r="C37" s="4">
        <v>44017</v>
      </c>
      <c r="D37" s="3">
        <v>70</v>
      </c>
      <c r="E37" s="3">
        <v>7</v>
      </c>
      <c r="F37" s="9" t="b">
        <v>1</v>
      </c>
    </row>
    <row r="38" spans="1:6" ht="18" customHeight="1">
      <c r="A38" s="9" t="s">
        <v>83</v>
      </c>
      <c r="B38" s="9" t="s">
        <v>68</v>
      </c>
      <c r="C38" s="4">
        <v>44048</v>
      </c>
      <c r="D38" s="3">
        <v>80</v>
      </c>
      <c r="E38" s="3">
        <v>1</v>
      </c>
      <c r="F38" s="9" t="b">
        <v>0</v>
      </c>
    </row>
    <row r="39" spans="1:6" ht="18" customHeight="1">
      <c r="A39" s="9" t="s">
        <v>86</v>
      </c>
      <c r="B39" s="9" t="s">
        <v>72</v>
      </c>
      <c r="C39" s="4">
        <v>44079</v>
      </c>
      <c r="D39" s="3">
        <v>90</v>
      </c>
      <c r="E39" s="3">
        <v>2</v>
      </c>
      <c r="F39" s="9" t="b">
        <v>1</v>
      </c>
    </row>
    <row r="40" spans="1:6" ht="18" customHeight="1">
      <c r="A40" s="9" t="s">
        <v>88</v>
      </c>
      <c r="B40" s="9" t="s">
        <v>65</v>
      </c>
      <c r="C40" s="4">
        <v>44110</v>
      </c>
      <c r="D40" s="3">
        <v>100</v>
      </c>
      <c r="E40" s="3">
        <v>3</v>
      </c>
      <c r="F40" s="9" t="b">
        <v>0</v>
      </c>
    </row>
    <row r="41" spans="1:6" ht="18" customHeight="1">
      <c r="A41" s="9" t="s">
        <v>90</v>
      </c>
      <c r="B41" s="9" t="s">
        <v>68</v>
      </c>
      <c r="C41" s="4">
        <v>44141</v>
      </c>
      <c r="D41" s="3">
        <v>110</v>
      </c>
      <c r="E41" s="3">
        <v>4</v>
      </c>
      <c r="F41" s="9" t="b">
        <v>1</v>
      </c>
    </row>
    <row r="42" spans="1:6" ht="18" customHeight="1">
      <c r="A42" s="9" t="s">
        <v>92</v>
      </c>
      <c r="B42" s="9" t="s">
        <v>72</v>
      </c>
      <c r="C42" s="4">
        <v>44172</v>
      </c>
      <c r="D42" s="3">
        <v>120</v>
      </c>
      <c r="E42" s="3">
        <v>5</v>
      </c>
      <c r="F42" s="9" t="b">
        <v>0</v>
      </c>
    </row>
    <row r="43" spans="1:6" ht="18" customHeight="1">
      <c r="A43" s="9" t="s">
        <v>94</v>
      </c>
      <c r="B43" s="9" t="s">
        <v>65</v>
      </c>
      <c r="C43" s="4">
        <v>44203</v>
      </c>
      <c r="D43" s="3">
        <v>130</v>
      </c>
      <c r="E43" s="3">
        <v>6</v>
      </c>
      <c r="F43" s="9" t="b">
        <v>1</v>
      </c>
    </row>
    <row r="44" spans="1:6" ht="18" customHeight="1">
      <c r="A44" s="9" t="s">
        <v>96</v>
      </c>
      <c r="B44" s="9" t="s">
        <v>68</v>
      </c>
      <c r="C44" s="4">
        <v>44234</v>
      </c>
      <c r="D44" s="3">
        <v>140</v>
      </c>
      <c r="E44" s="3">
        <v>7</v>
      </c>
      <c r="F44" s="9" t="b">
        <v>0</v>
      </c>
    </row>
    <row r="45" spans="1:6" ht="18" customHeight="1">
      <c r="A45" s="9" t="s">
        <v>98</v>
      </c>
      <c r="B45" s="9" t="s">
        <v>72</v>
      </c>
      <c r="C45" s="4">
        <v>44265</v>
      </c>
      <c r="D45" s="3">
        <v>150</v>
      </c>
      <c r="E45" s="3">
        <v>1</v>
      </c>
      <c r="F45" s="9" t="b">
        <v>1</v>
      </c>
    </row>
    <row r="46" spans="1:6" ht="18" customHeight="1">
      <c r="A46" s="9" t="s">
        <v>100</v>
      </c>
      <c r="B46" s="9" t="s">
        <v>65</v>
      </c>
      <c r="C46" s="4">
        <v>44296</v>
      </c>
      <c r="D46" s="3">
        <v>160</v>
      </c>
      <c r="E46" s="3">
        <v>2</v>
      </c>
      <c r="F46" s="9" t="b">
        <v>0</v>
      </c>
    </row>
    <row r="47" spans="1:6" ht="18" customHeight="1">
      <c r="A47" s="9" t="s">
        <v>102</v>
      </c>
      <c r="B47" s="9" t="s">
        <v>68</v>
      </c>
      <c r="C47" s="4">
        <v>44327</v>
      </c>
      <c r="D47" s="3">
        <v>170</v>
      </c>
      <c r="E47" s="3">
        <v>3</v>
      </c>
      <c r="F47" s="9" t="b">
        <v>1</v>
      </c>
    </row>
    <row r="48" spans="1:6" ht="18" customHeight="1">
      <c r="A48" s="9" t="s">
        <v>104</v>
      </c>
      <c r="B48" s="9" t="s">
        <v>72</v>
      </c>
      <c r="C48" s="4">
        <v>44358</v>
      </c>
      <c r="D48" s="3">
        <v>180</v>
      </c>
      <c r="E48" s="3">
        <v>4</v>
      </c>
      <c r="F48" s="9" t="b">
        <v>0</v>
      </c>
    </row>
    <row r="49" spans="1:6" ht="18" customHeight="1">
      <c r="A49" s="9" t="s">
        <v>106</v>
      </c>
      <c r="B49" s="9" t="s">
        <v>65</v>
      </c>
      <c r="C49" s="4">
        <v>44389</v>
      </c>
      <c r="D49" s="3">
        <v>190</v>
      </c>
      <c r="E49" s="3">
        <v>5</v>
      </c>
      <c r="F49" s="9" t="b">
        <v>1</v>
      </c>
    </row>
    <row r="50" spans="1:6" ht="18" customHeight="1">
      <c r="A50" s="9" t="s">
        <v>108</v>
      </c>
      <c r="B50" s="9" t="s">
        <v>68</v>
      </c>
      <c r="C50" s="4">
        <v>44420</v>
      </c>
      <c r="D50" s="3">
        <v>200</v>
      </c>
      <c r="E50" s="3">
        <v>6</v>
      </c>
      <c r="F50" s="9" t="b">
        <v>0</v>
      </c>
    </row>
  </sheetData>
  <mergeCells count="2">
    <mergeCell ref="A1:N1"/>
    <mergeCell ref="A2:N2"/>
  </mergeCells>
  <pageMargins left="0.3" right="0.3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6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COUNTA(A5:A166)</f>
        <v>162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COUNTA(A5:A166)</f>
        <v>162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COUNTA(A5:A166)-COUNTIF(M5:M166,"excluded")</f>
        <v>162</v>
      </c>
    </row>
    <row r="5" spans="1:19" ht="18" customHeight="1">
      <c r="A5" s="8" t="s">
        <v>124</v>
      </c>
      <c r="B5" s="8" t="s">
        <v>125</v>
      </c>
      <c r="C5" s="8" t="s">
        <v>126</v>
      </c>
      <c r="D5" s="8" t="s">
        <v>127</v>
      </c>
      <c r="E5" s="2" t="s">
        <v>128</v>
      </c>
      <c r="F5" s="3">
        <f>ABS(SharedData!$A$8)</f>
        <v>0.3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130</v>
      </c>
      <c r="P5" s="3">
        <f>IFERROR(N(F5),0)+SUM(SharedData!$A$6:$A$8)+ROW()/100000</f>
        <v>0.30004999999999998</v>
      </c>
      <c r="Q5" s="8"/>
      <c r="R5" s="8"/>
      <c r="S5" s="8"/>
    </row>
    <row r="6" spans="1:19" ht="18" customHeight="1">
      <c r="A6" s="8" t="s">
        <v>131</v>
      </c>
      <c r="B6" s="8" t="s">
        <v>125</v>
      </c>
      <c r="C6" s="8" t="s">
        <v>132</v>
      </c>
      <c r="D6" s="8" t="s">
        <v>133</v>
      </c>
      <c r="E6" s="2" t="s">
        <v>134</v>
      </c>
      <c r="F6" s="3">
        <f>ACOS(0.5)</f>
        <v>1.0471975511965976</v>
      </c>
      <c r="G6" s="8"/>
      <c r="H6" s="8"/>
      <c r="I6" s="8"/>
      <c r="J6" s="8"/>
      <c r="K6" s="8"/>
      <c r="L6" s="8"/>
      <c r="M6" s="6" t="s">
        <v>129</v>
      </c>
      <c r="N6" s="8"/>
      <c r="O6" s="9" t="s">
        <v>130</v>
      </c>
      <c r="P6" s="8"/>
      <c r="Q6" s="8"/>
      <c r="R6" s="8"/>
      <c r="S6" s="8"/>
    </row>
    <row r="7" spans="1:19" ht="18" customHeight="1">
      <c r="A7" s="8" t="s">
        <v>135</v>
      </c>
      <c r="B7" s="8" t="s">
        <v>125</v>
      </c>
      <c r="C7" s="8" t="s">
        <v>136</v>
      </c>
      <c r="D7" s="8" t="s">
        <v>137</v>
      </c>
      <c r="E7" s="2" t="s">
        <v>138</v>
      </c>
      <c r="F7" s="3">
        <f>ACOSH(2.5)</f>
        <v>1.5667992369724109</v>
      </c>
      <c r="G7" s="8"/>
      <c r="H7" s="8"/>
      <c r="I7" s="8"/>
      <c r="J7" s="8"/>
      <c r="K7" s="8"/>
      <c r="L7" s="8"/>
      <c r="M7" s="6" t="s">
        <v>129</v>
      </c>
      <c r="N7" s="8"/>
      <c r="O7" s="9" t="s">
        <v>130</v>
      </c>
      <c r="P7" s="8"/>
      <c r="Q7" s="8"/>
      <c r="R7" s="8"/>
      <c r="S7" s="8"/>
    </row>
    <row r="8" spans="1:19" ht="18" customHeight="1">
      <c r="A8" s="8" t="s">
        <v>139</v>
      </c>
      <c r="B8" s="8" t="s">
        <v>125</v>
      </c>
      <c r="C8" s="8" t="s">
        <v>140</v>
      </c>
      <c r="D8" s="8" t="s">
        <v>133</v>
      </c>
      <c r="E8" s="2" t="s">
        <v>141</v>
      </c>
      <c r="F8" s="3">
        <f>_xlfn.ACOT(0.5)</f>
        <v>1.1071487177940904</v>
      </c>
      <c r="G8" s="8"/>
      <c r="H8" s="8"/>
      <c r="I8" s="8"/>
      <c r="J8" s="8"/>
      <c r="K8" s="8"/>
      <c r="L8" s="8"/>
      <c r="M8" s="6" t="s">
        <v>129</v>
      </c>
      <c r="N8" s="8"/>
      <c r="O8" s="9" t="s">
        <v>130</v>
      </c>
      <c r="P8" s="8"/>
      <c r="Q8" s="8"/>
      <c r="R8" s="8"/>
      <c r="S8" s="8"/>
    </row>
    <row r="9" spans="1:19" ht="18" customHeight="1">
      <c r="A9" s="8" t="s">
        <v>142</v>
      </c>
      <c r="B9" s="8" t="s">
        <v>125</v>
      </c>
      <c r="C9" s="8" t="s">
        <v>143</v>
      </c>
      <c r="D9" s="8" t="s">
        <v>133</v>
      </c>
      <c r="E9" s="2" t="s">
        <v>144</v>
      </c>
      <c r="F9" s="3" t="e">
        <f>_xlfn.ACOTH(0.5)</f>
        <v>#NUM!</v>
      </c>
      <c r="G9" s="8"/>
      <c r="H9" s="8"/>
      <c r="I9" s="8"/>
      <c r="J9" s="8"/>
      <c r="K9" s="8"/>
      <c r="L9" s="8"/>
      <c r="M9" s="6" t="s">
        <v>129</v>
      </c>
      <c r="N9" s="8"/>
      <c r="O9" s="9" t="s">
        <v>130</v>
      </c>
      <c r="P9" s="8"/>
      <c r="Q9" s="8"/>
      <c r="R9" s="8"/>
      <c r="S9" s="8"/>
    </row>
    <row r="10" spans="1:19" ht="18" customHeight="1">
      <c r="A10" s="8" t="s">
        <v>145</v>
      </c>
      <c r="B10" s="8" t="s">
        <v>125</v>
      </c>
      <c r="C10" s="8" t="s">
        <v>146</v>
      </c>
      <c r="D10" s="8" t="s">
        <v>127</v>
      </c>
      <c r="E10" s="2" t="s">
        <v>147</v>
      </c>
      <c r="F10" s="3">
        <f>_xlfn.AGGREGATE(9,6,SharedData!$E$6:$E$25)</f>
        <v>2100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130</v>
      </c>
      <c r="P10" s="8"/>
      <c r="Q10" s="8"/>
      <c r="R10" s="8"/>
      <c r="S10" s="8"/>
    </row>
    <row r="11" spans="1:19" ht="18" customHeight="1">
      <c r="A11" s="8" t="s">
        <v>148</v>
      </c>
      <c r="B11" s="8" t="s">
        <v>125</v>
      </c>
      <c r="C11" s="8" t="s">
        <v>149</v>
      </c>
      <c r="D11" s="8" t="s">
        <v>127</v>
      </c>
      <c r="E11" s="2" t="s">
        <v>150</v>
      </c>
      <c r="F11" s="3">
        <f>_xlfn.ARABIC("MMXXVI")</f>
        <v>2026</v>
      </c>
      <c r="G11" s="8"/>
      <c r="H11" s="8"/>
      <c r="I11" s="8"/>
      <c r="J11" s="8"/>
      <c r="K11" s="8"/>
      <c r="L11" s="8"/>
      <c r="M11" s="6" t="s">
        <v>129</v>
      </c>
      <c r="N11" s="8"/>
      <c r="O11" s="9" t="s">
        <v>130</v>
      </c>
      <c r="P11" s="8"/>
      <c r="Q11" s="8"/>
      <c r="R11" s="8"/>
      <c r="S11" s="8"/>
    </row>
    <row r="12" spans="1:19" ht="18" customHeight="1">
      <c r="A12" s="8" t="s">
        <v>151</v>
      </c>
      <c r="B12" s="8" t="s">
        <v>125</v>
      </c>
      <c r="C12" s="8" t="s">
        <v>152</v>
      </c>
      <c r="D12" s="8" t="s">
        <v>133</v>
      </c>
      <c r="E12" s="2" t="s">
        <v>153</v>
      </c>
      <c r="F12" s="3">
        <f>ASIN(0.5)</f>
        <v>0.52359877559829893</v>
      </c>
      <c r="G12" s="8"/>
      <c r="H12" s="8"/>
      <c r="I12" s="8"/>
      <c r="J12" s="8"/>
      <c r="K12" s="8"/>
      <c r="L12" s="8"/>
      <c r="M12" s="6" t="s">
        <v>129</v>
      </c>
      <c r="N12" s="8"/>
      <c r="O12" s="9" t="s">
        <v>130</v>
      </c>
      <c r="P12" s="8"/>
      <c r="Q12" s="8"/>
      <c r="R12" s="8"/>
      <c r="S12" s="8"/>
    </row>
    <row r="13" spans="1:19" ht="18" customHeight="1">
      <c r="A13" s="8" t="s">
        <v>154</v>
      </c>
      <c r="B13" s="8" t="s">
        <v>125</v>
      </c>
      <c r="C13" s="8" t="s">
        <v>155</v>
      </c>
      <c r="D13" s="8" t="s">
        <v>133</v>
      </c>
      <c r="E13" s="2" t="s">
        <v>156</v>
      </c>
      <c r="F13" s="3">
        <f>ASINH(0.5)</f>
        <v>0.48121182505960347</v>
      </c>
      <c r="G13" s="8"/>
      <c r="H13" s="8"/>
      <c r="I13" s="8"/>
      <c r="J13" s="8"/>
      <c r="K13" s="8"/>
      <c r="L13" s="8"/>
      <c r="M13" s="6" t="s">
        <v>129</v>
      </c>
      <c r="N13" s="3" t="str">
        <f>IF(ISERROR(F13),"ERROR "&amp;IFERROR(ERROR.TYPE(F13),""),"OK")</f>
        <v>OK</v>
      </c>
      <c r="O13" s="9" t="s">
        <v>130</v>
      </c>
      <c r="P13" s="8"/>
      <c r="Q13" s="8"/>
      <c r="R13" s="8"/>
      <c r="S13" s="8"/>
    </row>
    <row r="14" spans="1:19" ht="18" customHeight="1">
      <c r="A14" s="8" t="s">
        <v>157</v>
      </c>
      <c r="B14" s="8" t="s">
        <v>125</v>
      </c>
      <c r="C14" s="8" t="s">
        <v>158</v>
      </c>
      <c r="D14" s="8" t="s">
        <v>133</v>
      </c>
      <c r="E14" s="2" t="s">
        <v>159</v>
      </c>
      <c r="F14" s="3">
        <f>ATAN(0.5)</f>
        <v>0.46364760900080609</v>
      </c>
      <c r="G14" s="8"/>
      <c r="H14" s="8"/>
      <c r="I14" s="8"/>
      <c r="J14" s="8"/>
      <c r="K14" s="8"/>
      <c r="L14" s="8"/>
      <c r="M14" s="6" t="s">
        <v>129</v>
      </c>
      <c r="N14" s="8"/>
      <c r="O14" s="9" t="s">
        <v>130</v>
      </c>
      <c r="P14" s="8"/>
      <c r="Q14" s="8"/>
      <c r="R14" s="8"/>
      <c r="S14" s="8"/>
    </row>
    <row r="15" spans="1:19" ht="18" customHeight="1">
      <c r="A15" s="8" t="s">
        <v>160</v>
      </c>
      <c r="B15" s="8" t="s">
        <v>125</v>
      </c>
      <c r="C15" s="8" t="s">
        <v>161</v>
      </c>
      <c r="D15" s="8" t="s">
        <v>137</v>
      </c>
      <c r="E15" s="2" t="s">
        <v>162</v>
      </c>
      <c r="F15" s="3">
        <f>ATAN2(1,1)</f>
        <v>0.78539816339744828</v>
      </c>
      <c r="G15" s="8"/>
      <c r="H15" s="8"/>
      <c r="I15" s="8"/>
      <c r="J15" s="8"/>
      <c r="K15" s="8"/>
      <c r="L15" s="8"/>
      <c r="M15" s="6" t="s">
        <v>129</v>
      </c>
      <c r="N15" s="8"/>
      <c r="O15" s="9" t="s">
        <v>130</v>
      </c>
      <c r="P15" s="8"/>
      <c r="Q15" s="8"/>
      <c r="R15" s="8"/>
      <c r="S15" s="8"/>
    </row>
    <row r="16" spans="1:19" ht="18" customHeight="1">
      <c r="A16" s="8" t="s">
        <v>163</v>
      </c>
      <c r="B16" s="8" t="s">
        <v>125</v>
      </c>
      <c r="C16" s="8" t="s">
        <v>164</v>
      </c>
      <c r="D16" s="8" t="s">
        <v>133</v>
      </c>
      <c r="E16" s="2" t="s">
        <v>165</v>
      </c>
      <c r="F16" s="3">
        <f>ATANH(0.5)</f>
        <v>0.54930614433405489</v>
      </c>
      <c r="G16" s="8"/>
      <c r="H16" s="8"/>
      <c r="I16" s="8"/>
      <c r="J16" s="8"/>
      <c r="K16" s="8"/>
      <c r="L16" s="8"/>
      <c r="M16" s="6" t="s">
        <v>129</v>
      </c>
      <c r="N16" s="8"/>
      <c r="O16" s="9" t="s">
        <v>130</v>
      </c>
      <c r="P16" s="8"/>
      <c r="Q16" s="8"/>
      <c r="R16" s="8"/>
      <c r="S16" s="8"/>
    </row>
    <row r="17" spans="1:16" ht="18" customHeight="1">
      <c r="A17" s="8" t="s">
        <v>166</v>
      </c>
      <c r="B17" s="8" t="s">
        <v>125</v>
      </c>
      <c r="C17" s="8" t="s">
        <v>167</v>
      </c>
      <c r="D17" s="8" t="s">
        <v>127</v>
      </c>
      <c r="E17" s="2" t="s">
        <v>168</v>
      </c>
      <c r="F17" s="3" t="str">
        <f>_xlfn.BASE(255,16,4)</f>
        <v>00FF</v>
      </c>
      <c r="G17" s="8"/>
      <c r="H17" s="8"/>
      <c r="I17" s="8"/>
      <c r="J17" s="8"/>
      <c r="K17" s="8"/>
      <c r="L17" s="8"/>
      <c r="M17" s="6" t="s">
        <v>129</v>
      </c>
      <c r="N17" s="8"/>
      <c r="O17" s="9" t="s">
        <v>130</v>
      </c>
      <c r="P17" s="3">
        <f>IFERROR(N(F17),0)+SUM(SharedData!$A$6:$A$8)+ROW()/100000</f>
        <v>1.7000000000000001E-4</v>
      </c>
    </row>
    <row r="18" spans="1:16" ht="18" customHeight="1">
      <c r="A18" s="8" t="s">
        <v>169</v>
      </c>
      <c r="B18" s="8" t="s">
        <v>170</v>
      </c>
      <c r="C18" s="8" t="s">
        <v>171</v>
      </c>
      <c r="D18" s="8" t="s">
        <v>127</v>
      </c>
      <c r="E18" s="2" t="s">
        <v>172</v>
      </c>
      <c r="F18" s="3">
        <f>BESSELI(1.5,2)</f>
        <v>0.33783462087443816</v>
      </c>
      <c r="G18" s="8"/>
      <c r="H18" s="8"/>
      <c r="I18" s="8"/>
      <c r="J18" s="8"/>
      <c r="K18" s="8"/>
      <c r="L18" s="8"/>
      <c r="M18" s="6" t="s">
        <v>129</v>
      </c>
      <c r="N18" s="8"/>
      <c r="O18" s="9" t="s">
        <v>130</v>
      </c>
      <c r="P18" s="8"/>
    </row>
    <row r="19" spans="1:16" ht="18" customHeight="1">
      <c r="A19" s="8" t="s">
        <v>173</v>
      </c>
      <c r="B19" s="8" t="s">
        <v>170</v>
      </c>
      <c r="C19" s="8" t="s">
        <v>174</v>
      </c>
      <c r="D19" s="8" t="s">
        <v>127</v>
      </c>
      <c r="E19" s="2" t="s">
        <v>175</v>
      </c>
      <c r="F19" s="3">
        <f>BESSELJ(1.5,2)</f>
        <v>0.23208767901744795</v>
      </c>
      <c r="G19" s="8"/>
      <c r="H19" s="8"/>
      <c r="I19" s="8"/>
      <c r="J19" s="8"/>
      <c r="K19" s="8"/>
      <c r="L19" s="8"/>
      <c r="M19" s="6" t="s">
        <v>129</v>
      </c>
      <c r="N19" s="8"/>
      <c r="O19" s="9" t="s">
        <v>130</v>
      </c>
      <c r="P19" s="8"/>
    </row>
    <row r="20" spans="1:16" ht="18" customHeight="1">
      <c r="A20" s="8" t="s">
        <v>176</v>
      </c>
      <c r="B20" s="8" t="s">
        <v>170</v>
      </c>
      <c r="C20" s="8" t="s">
        <v>177</v>
      </c>
      <c r="D20" s="8" t="s">
        <v>127</v>
      </c>
      <c r="E20" s="2" t="s">
        <v>178</v>
      </c>
      <c r="F20" s="3">
        <f>BESSELK(1.5,2)</f>
        <v>0.58365597416666559</v>
      </c>
      <c r="G20" s="8"/>
      <c r="H20" s="8"/>
      <c r="I20" s="8"/>
      <c r="J20" s="8"/>
      <c r="K20" s="8"/>
      <c r="L20" s="8"/>
      <c r="M20" s="6" t="s">
        <v>129</v>
      </c>
      <c r="N20" s="8"/>
      <c r="O20" s="9" t="s">
        <v>130</v>
      </c>
      <c r="P20" s="8"/>
    </row>
    <row r="21" spans="1:16" ht="18" customHeight="1">
      <c r="A21" s="8" t="s">
        <v>179</v>
      </c>
      <c r="B21" s="8" t="s">
        <v>170</v>
      </c>
      <c r="C21" s="8" t="s">
        <v>180</v>
      </c>
      <c r="D21" s="8" t="s">
        <v>127</v>
      </c>
      <c r="E21" s="2" t="s">
        <v>181</v>
      </c>
      <c r="F21" s="3">
        <f>BESSELY(1.5,2)</f>
        <v>-0.93219376062623394</v>
      </c>
      <c r="G21" s="8"/>
      <c r="H21" s="8"/>
      <c r="I21" s="8"/>
      <c r="J21" s="8"/>
      <c r="K21" s="8"/>
      <c r="L21" s="8"/>
      <c r="M21" s="6" t="s">
        <v>129</v>
      </c>
      <c r="N21" s="3" t="str">
        <f>IF(ISERROR(F21),"ERROR "&amp;IFERROR(ERROR.TYPE(F21),""),"OK")</f>
        <v>OK</v>
      </c>
      <c r="O21" s="9" t="s">
        <v>130</v>
      </c>
      <c r="P21" s="8"/>
    </row>
    <row r="22" spans="1:16" ht="18" customHeight="1">
      <c r="A22" s="8" t="s">
        <v>182</v>
      </c>
      <c r="B22" s="8" t="s">
        <v>170</v>
      </c>
      <c r="C22" s="8" t="s">
        <v>183</v>
      </c>
      <c r="D22" s="8" t="s">
        <v>127</v>
      </c>
      <c r="E22" s="2" t="s">
        <v>184</v>
      </c>
      <c r="F22" s="3">
        <f>BIN2DEC("101101")</f>
        <v>45</v>
      </c>
      <c r="G22" s="8"/>
      <c r="H22" s="8"/>
      <c r="I22" s="8"/>
      <c r="J22" s="8"/>
      <c r="K22" s="8"/>
      <c r="L22" s="8"/>
      <c r="M22" s="6" t="s">
        <v>129</v>
      </c>
      <c r="N22" s="8"/>
      <c r="O22" s="9" t="s">
        <v>130</v>
      </c>
      <c r="P22" s="8"/>
    </row>
    <row r="23" spans="1:16" ht="18" customHeight="1">
      <c r="A23" s="8" t="s">
        <v>185</v>
      </c>
      <c r="B23" s="8" t="s">
        <v>170</v>
      </c>
      <c r="C23" s="8" t="s">
        <v>186</v>
      </c>
      <c r="D23" s="8" t="s">
        <v>127</v>
      </c>
      <c r="E23" s="2" t="s">
        <v>187</v>
      </c>
      <c r="F23" s="3" t="str">
        <f>BIN2HEX("101101",4)</f>
        <v>002D</v>
      </c>
      <c r="G23" s="8"/>
      <c r="H23" s="8"/>
      <c r="I23" s="8"/>
      <c r="J23" s="8"/>
      <c r="K23" s="8"/>
      <c r="L23" s="8"/>
      <c r="M23" s="6" t="s">
        <v>129</v>
      </c>
      <c r="N23" s="8"/>
      <c r="O23" s="9" t="s">
        <v>130</v>
      </c>
      <c r="P23" s="8"/>
    </row>
    <row r="24" spans="1:16" ht="18" customHeight="1">
      <c r="A24" s="8" t="s">
        <v>188</v>
      </c>
      <c r="B24" s="8" t="s">
        <v>170</v>
      </c>
      <c r="C24" s="8" t="s">
        <v>189</v>
      </c>
      <c r="D24" s="8" t="s">
        <v>127</v>
      </c>
      <c r="E24" s="2" t="s">
        <v>190</v>
      </c>
      <c r="F24" s="3" t="str">
        <f>BIN2OCT("101101",4)</f>
        <v>0055</v>
      </c>
      <c r="G24" s="8"/>
      <c r="H24" s="8"/>
      <c r="I24" s="8"/>
      <c r="J24" s="8"/>
      <c r="K24" s="8"/>
      <c r="L24" s="8"/>
      <c r="M24" s="6" t="s">
        <v>129</v>
      </c>
      <c r="N24" s="8"/>
      <c r="O24" s="9" t="s">
        <v>130</v>
      </c>
      <c r="P24" s="8"/>
    </row>
    <row r="25" spans="1:16" ht="18" customHeight="1">
      <c r="A25" s="8" t="s">
        <v>191</v>
      </c>
      <c r="B25" s="8" t="s">
        <v>170</v>
      </c>
      <c r="C25" s="8" t="s">
        <v>192</v>
      </c>
      <c r="D25" s="8" t="s">
        <v>127</v>
      </c>
      <c r="E25" s="2" t="s">
        <v>193</v>
      </c>
      <c r="F25" s="3">
        <f>_xlfn.BITAND(29,23)</f>
        <v>21</v>
      </c>
      <c r="G25" s="8"/>
      <c r="H25" s="8"/>
      <c r="I25" s="8"/>
      <c r="J25" s="8"/>
      <c r="K25" s="8"/>
      <c r="L25" s="8"/>
      <c r="M25" s="6" t="s">
        <v>129</v>
      </c>
      <c r="N25" s="8"/>
      <c r="O25" s="9" t="s">
        <v>130</v>
      </c>
      <c r="P25" s="8"/>
    </row>
    <row r="26" spans="1:16" ht="18" customHeight="1">
      <c r="A26" s="8" t="s">
        <v>194</v>
      </c>
      <c r="B26" s="8" t="s">
        <v>170</v>
      </c>
      <c r="C26" s="8" t="s">
        <v>195</v>
      </c>
      <c r="D26" s="8" t="s">
        <v>127</v>
      </c>
      <c r="E26" s="2" t="s">
        <v>196</v>
      </c>
      <c r="F26" s="3">
        <f>_xlfn.BITLSHIFT(7,3)</f>
        <v>56</v>
      </c>
      <c r="G26" s="8"/>
      <c r="H26" s="8"/>
      <c r="I26" s="8"/>
      <c r="J26" s="8"/>
      <c r="K26" s="8"/>
      <c r="L26" s="8"/>
      <c r="M26" s="6" t="s">
        <v>129</v>
      </c>
      <c r="N26" s="8"/>
      <c r="O26" s="9" t="s">
        <v>130</v>
      </c>
      <c r="P26" s="8"/>
    </row>
    <row r="27" spans="1:16" ht="18" customHeight="1">
      <c r="A27" s="8" t="s">
        <v>197</v>
      </c>
      <c r="B27" s="8" t="s">
        <v>170</v>
      </c>
      <c r="C27" s="8" t="s">
        <v>198</v>
      </c>
      <c r="D27" s="8" t="s">
        <v>127</v>
      </c>
      <c r="E27" s="2" t="s">
        <v>199</v>
      </c>
      <c r="F27" s="3">
        <f>_xlfn.BITOR(29,23)</f>
        <v>31</v>
      </c>
      <c r="G27" s="8"/>
      <c r="H27" s="8"/>
      <c r="I27" s="8"/>
      <c r="J27" s="8"/>
      <c r="K27" s="8"/>
      <c r="L27" s="8"/>
      <c r="M27" s="6" t="s">
        <v>129</v>
      </c>
      <c r="N27" s="8"/>
      <c r="O27" s="9" t="s">
        <v>130</v>
      </c>
      <c r="P27" s="8"/>
    </row>
    <row r="28" spans="1:16" ht="18" customHeight="1">
      <c r="A28" s="8" t="s">
        <v>200</v>
      </c>
      <c r="B28" s="8" t="s">
        <v>170</v>
      </c>
      <c r="C28" s="8" t="s">
        <v>201</v>
      </c>
      <c r="D28" s="8" t="s">
        <v>127</v>
      </c>
      <c r="E28" s="2" t="s">
        <v>202</v>
      </c>
      <c r="F28" s="3">
        <f>_xlfn.BITRSHIFT(128,3)</f>
        <v>16</v>
      </c>
      <c r="G28" s="8"/>
      <c r="H28" s="8"/>
      <c r="I28" s="8"/>
      <c r="J28" s="8"/>
      <c r="K28" s="8"/>
      <c r="L28" s="8"/>
      <c r="M28" s="6" t="s">
        <v>129</v>
      </c>
      <c r="N28" s="8"/>
      <c r="O28" s="9" t="s">
        <v>130</v>
      </c>
      <c r="P28" s="8"/>
    </row>
    <row r="29" spans="1:16" ht="18" customHeight="1">
      <c r="A29" s="8" t="s">
        <v>203</v>
      </c>
      <c r="B29" s="8" t="s">
        <v>170</v>
      </c>
      <c r="C29" s="8" t="s">
        <v>204</v>
      </c>
      <c r="D29" s="8" t="s">
        <v>127</v>
      </c>
      <c r="E29" s="2" t="s">
        <v>205</v>
      </c>
      <c r="F29" s="3">
        <f>_xlfn.BITXOR(29,23)</f>
        <v>10</v>
      </c>
      <c r="G29" s="8"/>
      <c r="H29" s="8"/>
      <c r="I29" s="8"/>
      <c r="J29" s="8"/>
      <c r="K29" s="8"/>
      <c r="L29" s="8"/>
      <c r="M29" s="6" t="s">
        <v>129</v>
      </c>
      <c r="N29" s="3" t="str">
        <f>IF(ISERROR(F29),"ERROR "&amp;IFERROR(ERROR.TYPE(F29),""),"OK")</f>
        <v>OK</v>
      </c>
      <c r="O29" s="9" t="s">
        <v>130</v>
      </c>
      <c r="P29" s="3">
        <f>IFERROR(N(F29),0)+SUM(SharedData!$A$6:$A$8)+ROW()/100000</f>
        <v>10.00029</v>
      </c>
    </row>
    <row r="30" spans="1:16" ht="18" customHeight="1">
      <c r="A30" s="8" t="s">
        <v>206</v>
      </c>
      <c r="B30" s="8" t="s">
        <v>125</v>
      </c>
      <c r="C30" s="8" t="s">
        <v>207</v>
      </c>
      <c r="D30" s="8" t="s">
        <v>127</v>
      </c>
      <c r="E30" s="2" t="s">
        <v>208</v>
      </c>
      <c r="F30" s="3">
        <f>CEILING(SharedData!$A$19,0.25)</f>
        <v>1.5</v>
      </c>
      <c r="G30" s="8"/>
      <c r="H30" s="8"/>
      <c r="I30" s="8"/>
      <c r="J30" s="8"/>
      <c r="K30" s="8"/>
      <c r="L30" s="8"/>
      <c r="M30" s="6" t="s">
        <v>129</v>
      </c>
      <c r="N30" s="8"/>
      <c r="O30" s="9" t="s">
        <v>130</v>
      </c>
      <c r="P30" s="8"/>
    </row>
    <row r="31" spans="1:16" ht="18" customHeight="1">
      <c r="A31" s="8" t="s">
        <v>209</v>
      </c>
      <c r="B31" s="8" t="s">
        <v>125</v>
      </c>
      <c r="C31" s="8" t="s">
        <v>210</v>
      </c>
      <c r="D31" s="8" t="s">
        <v>127</v>
      </c>
      <c r="E31" s="2" t="s">
        <v>211</v>
      </c>
      <c r="F31" s="3">
        <f>_xlfn.CEILING.MATH(SharedData!$A$19,0.25,1)</f>
        <v>1.5</v>
      </c>
      <c r="G31" s="8"/>
      <c r="H31" s="8"/>
      <c r="I31" s="8"/>
      <c r="J31" s="8"/>
      <c r="K31" s="8"/>
      <c r="L31" s="8"/>
      <c r="M31" s="6" t="s">
        <v>129</v>
      </c>
      <c r="N31" s="8"/>
      <c r="O31" s="9" t="s">
        <v>130</v>
      </c>
      <c r="P31" s="8"/>
    </row>
    <row r="32" spans="1:16" ht="18" customHeight="1">
      <c r="A32" s="8" t="s">
        <v>212</v>
      </c>
      <c r="B32" s="8" t="s">
        <v>125</v>
      </c>
      <c r="C32" s="8" t="s">
        <v>213</v>
      </c>
      <c r="D32" s="8" t="s">
        <v>127</v>
      </c>
      <c r="E32" s="2" t="s">
        <v>214</v>
      </c>
      <c r="F32" s="3">
        <f>_xlfn.CEILING.PRECISE(SharedData!$A$19,0.25)</f>
        <v>1.5</v>
      </c>
      <c r="G32" s="8"/>
      <c r="H32" s="8"/>
      <c r="I32" s="8"/>
      <c r="J32" s="8"/>
      <c r="K32" s="8"/>
      <c r="L32" s="8"/>
      <c r="M32" s="6" t="s">
        <v>129</v>
      </c>
      <c r="N32" s="8"/>
      <c r="O32" s="9" t="s">
        <v>130</v>
      </c>
      <c r="P32" s="8"/>
    </row>
    <row r="33" spans="1:16" ht="18" customHeight="1">
      <c r="A33" s="8" t="s">
        <v>215</v>
      </c>
      <c r="B33" s="8" t="s">
        <v>125</v>
      </c>
      <c r="C33" s="8" t="s">
        <v>216</v>
      </c>
      <c r="D33" s="8" t="s">
        <v>127</v>
      </c>
      <c r="E33" s="2" t="s">
        <v>217</v>
      </c>
      <c r="F33" s="3">
        <f>COMBIN(10,3)</f>
        <v>120</v>
      </c>
      <c r="G33" s="8"/>
      <c r="H33" s="8"/>
      <c r="I33" s="8"/>
      <c r="J33" s="8"/>
      <c r="K33" s="8"/>
      <c r="L33" s="8"/>
      <c r="M33" s="6" t="s">
        <v>129</v>
      </c>
      <c r="N33" s="8"/>
      <c r="O33" s="9" t="s">
        <v>130</v>
      </c>
      <c r="P33" s="8"/>
    </row>
    <row r="34" spans="1:16" ht="18" customHeight="1">
      <c r="A34" s="8" t="s">
        <v>218</v>
      </c>
      <c r="B34" s="8" t="s">
        <v>125</v>
      </c>
      <c r="C34" s="8" t="s">
        <v>219</v>
      </c>
      <c r="D34" s="8" t="s">
        <v>127</v>
      </c>
      <c r="E34" s="2" t="s">
        <v>220</v>
      </c>
      <c r="F34" s="3">
        <f>_xlfn.COMBINA(10,3)</f>
        <v>220</v>
      </c>
      <c r="G34" s="8"/>
      <c r="H34" s="8"/>
      <c r="I34" s="8"/>
      <c r="J34" s="8"/>
      <c r="K34" s="8"/>
      <c r="L34" s="8"/>
      <c r="M34" s="6" t="s">
        <v>129</v>
      </c>
      <c r="N34" s="8"/>
      <c r="O34" s="9" t="s">
        <v>130</v>
      </c>
      <c r="P34" s="8"/>
    </row>
    <row r="35" spans="1:16" ht="18" customHeight="1">
      <c r="A35" s="8" t="s">
        <v>221</v>
      </c>
      <c r="B35" s="8" t="s">
        <v>170</v>
      </c>
      <c r="C35" s="8" t="s">
        <v>222</v>
      </c>
      <c r="D35" s="8" t="s">
        <v>127</v>
      </c>
      <c r="E35" s="2" t="s">
        <v>223</v>
      </c>
      <c r="F35" s="3" t="str">
        <f>COMPLEX(3,4,"i")</f>
        <v>3+4i</v>
      </c>
      <c r="G35" s="8"/>
      <c r="H35" s="8"/>
      <c r="I35" s="8"/>
      <c r="J35" s="8"/>
      <c r="K35" s="8"/>
      <c r="L35" s="8"/>
      <c r="M35" s="6" t="s">
        <v>129</v>
      </c>
      <c r="N35" s="8"/>
      <c r="O35" s="9" t="s">
        <v>130</v>
      </c>
      <c r="P35" s="8"/>
    </row>
    <row r="36" spans="1:16" ht="18" customHeight="1">
      <c r="A36" s="8" t="s">
        <v>224</v>
      </c>
      <c r="B36" s="8" t="s">
        <v>170</v>
      </c>
      <c r="C36" s="8" t="s">
        <v>225</v>
      </c>
      <c r="D36" s="8" t="s">
        <v>127</v>
      </c>
      <c r="E36" s="2" t="s">
        <v>226</v>
      </c>
      <c r="F36" s="3">
        <f>CONVERT(10,"km","mi")</f>
        <v>6.2137119223733395</v>
      </c>
      <c r="G36" s="8"/>
      <c r="H36" s="8"/>
      <c r="I36" s="8"/>
      <c r="J36" s="8"/>
      <c r="K36" s="8"/>
      <c r="L36" s="8"/>
      <c r="M36" s="6" t="s">
        <v>129</v>
      </c>
      <c r="N36" s="8"/>
      <c r="O36" s="9" t="s">
        <v>130</v>
      </c>
      <c r="P36" s="8"/>
    </row>
    <row r="37" spans="1:16" ht="18" customHeight="1">
      <c r="A37" s="8" t="s">
        <v>227</v>
      </c>
      <c r="B37" s="8" t="s">
        <v>125</v>
      </c>
      <c r="C37" s="8" t="s">
        <v>228</v>
      </c>
      <c r="D37" s="8" t="s">
        <v>133</v>
      </c>
      <c r="E37" s="2" t="s">
        <v>229</v>
      </c>
      <c r="F37" s="3">
        <f>COS(0.5)</f>
        <v>0.87758256189037276</v>
      </c>
      <c r="G37" s="8"/>
      <c r="H37" s="8"/>
      <c r="I37" s="8"/>
      <c r="J37" s="8"/>
      <c r="K37" s="8"/>
      <c r="L37" s="8"/>
      <c r="M37" s="6" t="s">
        <v>129</v>
      </c>
      <c r="N37" s="3" t="str">
        <f>IF(ISERROR(F37),"ERROR "&amp;IFERROR(ERROR.TYPE(F37),""),"OK")</f>
        <v>OK</v>
      </c>
      <c r="O37" s="9" t="s">
        <v>130</v>
      </c>
      <c r="P37" s="8"/>
    </row>
    <row r="38" spans="1:16" ht="18" customHeight="1">
      <c r="A38" s="8" t="s">
        <v>230</v>
      </c>
      <c r="B38" s="8" t="s">
        <v>125</v>
      </c>
      <c r="C38" s="8" t="s">
        <v>231</v>
      </c>
      <c r="D38" s="8" t="s">
        <v>133</v>
      </c>
      <c r="E38" s="2" t="s">
        <v>232</v>
      </c>
      <c r="F38" s="3">
        <f>COSH(0.5)</f>
        <v>1.1276259652063807</v>
      </c>
      <c r="G38" s="8"/>
      <c r="H38" s="8"/>
      <c r="I38" s="8"/>
      <c r="J38" s="8"/>
      <c r="K38" s="8"/>
      <c r="L38" s="8"/>
      <c r="M38" s="6" t="s">
        <v>129</v>
      </c>
      <c r="N38" s="8"/>
      <c r="O38" s="9" t="s">
        <v>130</v>
      </c>
      <c r="P38" s="8"/>
    </row>
    <row r="39" spans="1:16" ht="18" customHeight="1">
      <c r="A39" s="8" t="s">
        <v>233</v>
      </c>
      <c r="B39" s="8" t="s">
        <v>125</v>
      </c>
      <c r="C39" s="8" t="s">
        <v>234</v>
      </c>
      <c r="D39" s="8" t="s">
        <v>133</v>
      </c>
      <c r="E39" s="2" t="s">
        <v>235</v>
      </c>
      <c r="F39" s="3">
        <f>_xlfn.COT(0.5)</f>
        <v>1.830487721712452</v>
      </c>
      <c r="G39" s="8"/>
      <c r="H39" s="8"/>
      <c r="I39" s="8"/>
      <c r="J39" s="8"/>
      <c r="K39" s="8"/>
      <c r="L39" s="8"/>
      <c r="M39" s="6" t="s">
        <v>129</v>
      </c>
      <c r="N39" s="8"/>
      <c r="O39" s="9" t="s">
        <v>130</v>
      </c>
      <c r="P39" s="8"/>
    </row>
    <row r="40" spans="1:16" ht="18" customHeight="1">
      <c r="A40" s="8" t="s">
        <v>236</v>
      </c>
      <c r="B40" s="8" t="s">
        <v>125</v>
      </c>
      <c r="C40" s="8" t="s">
        <v>237</v>
      </c>
      <c r="D40" s="8" t="s">
        <v>133</v>
      </c>
      <c r="E40" s="2" t="s">
        <v>238</v>
      </c>
      <c r="F40" s="3">
        <f>_xlfn.COTH(0.5)</f>
        <v>2.1639534137386529</v>
      </c>
      <c r="G40" s="8"/>
      <c r="H40" s="8"/>
      <c r="I40" s="8"/>
      <c r="J40" s="8"/>
      <c r="K40" s="8"/>
      <c r="L40" s="8"/>
      <c r="M40" s="6" t="s">
        <v>129</v>
      </c>
      <c r="N40" s="8"/>
      <c r="O40" s="9" t="s">
        <v>130</v>
      </c>
      <c r="P40" s="8"/>
    </row>
    <row r="41" spans="1:16" ht="18" customHeight="1">
      <c r="A41" s="8" t="s">
        <v>239</v>
      </c>
      <c r="B41" s="8" t="s">
        <v>125</v>
      </c>
      <c r="C41" s="8" t="s">
        <v>240</v>
      </c>
      <c r="D41" s="8" t="s">
        <v>133</v>
      </c>
      <c r="E41" s="2" t="s">
        <v>241</v>
      </c>
      <c r="F41" s="3">
        <f>_xlfn.CSC(0.5)</f>
        <v>2.0858296429334882</v>
      </c>
      <c r="G41" s="8"/>
      <c r="H41" s="8"/>
      <c r="I41" s="8"/>
      <c r="J41" s="8"/>
      <c r="K41" s="8"/>
      <c r="L41" s="8"/>
      <c r="M41" s="6" t="s">
        <v>129</v>
      </c>
      <c r="N41" s="8"/>
      <c r="O41" s="9" t="s">
        <v>130</v>
      </c>
      <c r="P41" s="3">
        <f>IFERROR(N(F41),0)+SUM(SharedData!$A$6:$A$8)+ROW()/100000</f>
        <v>2.0862396429334882</v>
      </c>
    </row>
    <row r="42" spans="1:16" ht="18" customHeight="1">
      <c r="A42" s="8" t="s">
        <v>242</v>
      </c>
      <c r="B42" s="8" t="s">
        <v>125</v>
      </c>
      <c r="C42" s="8" t="s">
        <v>243</v>
      </c>
      <c r="D42" s="8" t="s">
        <v>133</v>
      </c>
      <c r="E42" s="2" t="s">
        <v>244</v>
      </c>
      <c r="F42" s="3">
        <f>_xlfn.CSCH(0.5)</f>
        <v>1.9190347513349437</v>
      </c>
      <c r="G42" s="8"/>
      <c r="H42" s="8"/>
      <c r="I42" s="8"/>
      <c r="J42" s="8"/>
      <c r="K42" s="8"/>
      <c r="L42" s="8"/>
      <c r="M42" s="6" t="s">
        <v>129</v>
      </c>
      <c r="N42" s="8"/>
      <c r="O42" s="9" t="s">
        <v>130</v>
      </c>
      <c r="P42" s="8"/>
    </row>
    <row r="43" spans="1:16" ht="18" customHeight="1">
      <c r="A43" s="8" t="s">
        <v>245</v>
      </c>
      <c r="B43" s="8" t="s">
        <v>170</v>
      </c>
      <c r="C43" s="8" t="s">
        <v>246</v>
      </c>
      <c r="D43" s="8" t="s">
        <v>127</v>
      </c>
      <c r="E43" s="2" t="s">
        <v>247</v>
      </c>
      <c r="F43" s="3" t="str">
        <f>DEC2BIN(45,8)</f>
        <v>00101101</v>
      </c>
      <c r="G43" s="8"/>
      <c r="H43" s="8"/>
      <c r="I43" s="8"/>
      <c r="J43" s="8"/>
      <c r="K43" s="8"/>
      <c r="L43" s="8"/>
      <c r="M43" s="6" t="s">
        <v>129</v>
      </c>
      <c r="N43" s="8"/>
      <c r="O43" s="9" t="s">
        <v>130</v>
      </c>
      <c r="P43" s="8"/>
    </row>
    <row r="44" spans="1:16" ht="18" customHeight="1">
      <c r="A44" s="8" t="s">
        <v>248</v>
      </c>
      <c r="B44" s="8" t="s">
        <v>170</v>
      </c>
      <c r="C44" s="8" t="s">
        <v>249</v>
      </c>
      <c r="D44" s="8" t="s">
        <v>127</v>
      </c>
      <c r="E44" s="2" t="s">
        <v>250</v>
      </c>
      <c r="F44" s="3" t="str">
        <f>DEC2HEX(4095,6)</f>
        <v>000FFF</v>
      </c>
      <c r="G44" s="8"/>
      <c r="H44" s="8"/>
      <c r="I44" s="8"/>
      <c r="J44" s="8"/>
      <c r="K44" s="8"/>
      <c r="L44" s="8"/>
      <c r="M44" s="6" t="s">
        <v>129</v>
      </c>
      <c r="N44" s="8"/>
      <c r="O44" s="9" t="s">
        <v>130</v>
      </c>
      <c r="P44" s="8"/>
    </row>
    <row r="45" spans="1:16" ht="18" customHeight="1">
      <c r="A45" s="8" t="s">
        <v>251</v>
      </c>
      <c r="B45" s="8" t="s">
        <v>170</v>
      </c>
      <c r="C45" s="8" t="s">
        <v>252</v>
      </c>
      <c r="D45" s="8" t="s">
        <v>127</v>
      </c>
      <c r="E45" s="2" t="s">
        <v>253</v>
      </c>
      <c r="F45" s="3" t="str">
        <f>DEC2OCT(511,5)</f>
        <v>00777</v>
      </c>
      <c r="G45" s="8"/>
      <c r="H45" s="8"/>
      <c r="I45" s="8"/>
      <c r="J45" s="8"/>
      <c r="K45" s="8"/>
      <c r="L45" s="8"/>
      <c r="M45" s="6" t="s">
        <v>129</v>
      </c>
      <c r="N45" s="3" t="str">
        <f>IF(ISERROR(F45),"ERROR "&amp;IFERROR(ERROR.TYPE(F45),""),"OK")</f>
        <v>OK</v>
      </c>
      <c r="O45" s="9" t="s">
        <v>130</v>
      </c>
      <c r="P45" s="8"/>
    </row>
    <row r="46" spans="1:16" ht="18" customHeight="1">
      <c r="A46" s="8" t="s">
        <v>254</v>
      </c>
      <c r="B46" s="8" t="s">
        <v>125</v>
      </c>
      <c r="C46" s="8" t="s">
        <v>255</v>
      </c>
      <c r="D46" s="8" t="s">
        <v>127</v>
      </c>
      <c r="E46" s="2" t="s">
        <v>256</v>
      </c>
      <c r="F46" s="3">
        <f>_xlfn.DECIMAL("FF",16)</f>
        <v>255</v>
      </c>
      <c r="G46" s="8"/>
      <c r="H46" s="8"/>
      <c r="I46" s="8"/>
      <c r="J46" s="8"/>
      <c r="K46" s="8"/>
      <c r="L46" s="8"/>
      <c r="M46" s="6" t="s">
        <v>129</v>
      </c>
      <c r="N46" s="8"/>
      <c r="O46" s="9" t="s">
        <v>130</v>
      </c>
      <c r="P46" s="8"/>
    </row>
    <row r="47" spans="1:16" ht="18" customHeight="1">
      <c r="A47" s="8" t="s">
        <v>257</v>
      </c>
      <c r="B47" s="8" t="s">
        <v>125</v>
      </c>
      <c r="C47" s="8" t="s">
        <v>258</v>
      </c>
      <c r="D47" s="8" t="s">
        <v>127</v>
      </c>
      <c r="E47" s="2" t="s">
        <v>259</v>
      </c>
      <c r="F47" s="3">
        <f>DEGREES(PI()/3)</f>
        <v>59.999999999999993</v>
      </c>
      <c r="G47" s="8"/>
      <c r="H47" s="8"/>
      <c r="I47" s="8"/>
      <c r="J47" s="8"/>
      <c r="K47" s="8"/>
      <c r="L47" s="8"/>
      <c r="M47" s="6" t="s">
        <v>129</v>
      </c>
      <c r="N47" s="8"/>
      <c r="O47" s="9" t="s">
        <v>130</v>
      </c>
      <c r="P47" s="8"/>
    </row>
    <row r="48" spans="1:16" ht="18" customHeight="1">
      <c r="A48" s="8" t="s">
        <v>260</v>
      </c>
      <c r="B48" s="8" t="s">
        <v>170</v>
      </c>
      <c r="C48" s="8" t="s">
        <v>261</v>
      </c>
      <c r="D48" s="8" t="s">
        <v>127</v>
      </c>
      <c r="E48" s="2" t="s">
        <v>262</v>
      </c>
      <c r="F48" s="3">
        <f>DELTA(SharedData!$A$9,SharedData!$A$10)</f>
        <v>0</v>
      </c>
      <c r="G48" s="8"/>
      <c r="H48" s="8"/>
      <c r="I48" s="8"/>
      <c r="J48" s="8"/>
      <c r="K48" s="8"/>
      <c r="L48" s="8"/>
      <c r="M48" s="6" t="s">
        <v>129</v>
      </c>
      <c r="N48" s="8"/>
      <c r="O48" s="9" t="s">
        <v>130</v>
      </c>
      <c r="P48" s="8"/>
    </row>
    <row r="49" spans="1:16" ht="18" customHeight="1">
      <c r="A49" s="8" t="s">
        <v>263</v>
      </c>
      <c r="B49" s="8" t="s">
        <v>170</v>
      </c>
      <c r="C49" s="8" t="s">
        <v>264</v>
      </c>
      <c r="D49" s="8" t="s">
        <v>133</v>
      </c>
      <c r="E49" s="2" t="s">
        <v>265</v>
      </c>
      <c r="F49" s="3">
        <f>ERF(10)</f>
        <v>1</v>
      </c>
      <c r="G49" s="8"/>
      <c r="H49" s="8"/>
      <c r="I49" s="8"/>
      <c r="J49" s="8"/>
      <c r="K49" s="8"/>
      <c r="L49" s="8"/>
      <c r="M49" s="6" t="s">
        <v>129</v>
      </c>
      <c r="N49" s="8"/>
      <c r="O49" s="9" t="s">
        <v>130</v>
      </c>
      <c r="P49" s="8"/>
    </row>
    <row r="50" spans="1:16" ht="18" customHeight="1">
      <c r="A50" s="8" t="s">
        <v>266</v>
      </c>
      <c r="B50" s="8" t="s">
        <v>170</v>
      </c>
      <c r="C50" s="8" t="s">
        <v>267</v>
      </c>
      <c r="D50" s="8" t="s">
        <v>133</v>
      </c>
      <c r="E50" s="2" t="s">
        <v>268</v>
      </c>
      <c r="F50" s="3">
        <f>_xlfn.ERF.PRECISE(10)</f>
        <v>1</v>
      </c>
      <c r="G50" s="8"/>
      <c r="H50" s="8"/>
      <c r="I50" s="8"/>
      <c r="J50" s="8"/>
      <c r="K50" s="8"/>
      <c r="L50" s="8"/>
      <c r="M50" s="6" t="s">
        <v>129</v>
      </c>
      <c r="N50" s="8"/>
      <c r="O50" s="9" t="s">
        <v>130</v>
      </c>
      <c r="P50" s="8"/>
    </row>
    <row r="51" spans="1:16" ht="18" customHeight="1">
      <c r="A51" s="8" t="s">
        <v>269</v>
      </c>
      <c r="B51" s="8" t="s">
        <v>170</v>
      </c>
      <c r="C51" s="8" t="s">
        <v>270</v>
      </c>
      <c r="D51" s="8" t="s">
        <v>133</v>
      </c>
      <c r="E51" s="2" t="s">
        <v>271</v>
      </c>
      <c r="F51" s="3">
        <f>ERFC(10)</f>
        <v>2.0884875837625446E-45</v>
      </c>
      <c r="G51" s="8"/>
      <c r="H51" s="8"/>
      <c r="I51" s="8"/>
      <c r="J51" s="8"/>
      <c r="K51" s="8"/>
      <c r="L51" s="8"/>
      <c r="M51" s="6" t="s">
        <v>129</v>
      </c>
      <c r="N51" s="8"/>
      <c r="O51" s="9" t="s">
        <v>130</v>
      </c>
      <c r="P51" s="8"/>
    </row>
    <row r="52" spans="1:16" ht="18" customHeight="1">
      <c r="A52" s="8" t="s">
        <v>272</v>
      </c>
      <c r="B52" s="8" t="s">
        <v>170</v>
      </c>
      <c r="C52" s="8" t="s">
        <v>273</v>
      </c>
      <c r="D52" s="8" t="s">
        <v>133</v>
      </c>
      <c r="E52" s="2" t="s">
        <v>274</v>
      </c>
      <c r="F52" s="3">
        <f>_xlfn.ERFC.PRECISE(10)</f>
        <v>2.0884875837625446E-45</v>
      </c>
      <c r="G52" s="8"/>
      <c r="H52" s="8"/>
      <c r="I52" s="8"/>
      <c r="J52" s="8"/>
      <c r="K52" s="8"/>
      <c r="L52" s="8"/>
      <c r="M52" s="6" t="s">
        <v>129</v>
      </c>
      <c r="N52" s="8"/>
      <c r="O52" s="9" t="s">
        <v>130</v>
      </c>
      <c r="P52" s="8"/>
    </row>
    <row r="53" spans="1:16" ht="18" customHeight="1">
      <c r="A53" s="8" t="s">
        <v>275</v>
      </c>
      <c r="B53" s="8" t="s">
        <v>125</v>
      </c>
      <c r="C53" s="8" t="s">
        <v>276</v>
      </c>
      <c r="D53" s="8" t="s">
        <v>133</v>
      </c>
      <c r="E53" s="2" t="s">
        <v>277</v>
      </c>
      <c r="F53" s="3">
        <f>EVEN(0.5)</f>
        <v>2</v>
      </c>
      <c r="G53" s="8"/>
      <c r="H53" s="8"/>
      <c r="I53" s="8"/>
      <c r="J53" s="8"/>
      <c r="K53" s="8"/>
      <c r="L53" s="8"/>
      <c r="M53" s="6" t="s">
        <v>129</v>
      </c>
      <c r="N53" s="3" t="str">
        <f>IF(ISERROR(F53),"ERROR "&amp;IFERROR(ERROR.TYPE(F53),""),"OK")</f>
        <v>OK</v>
      </c>
      <c r="O53" s="9" t="s">
        <v>130</v>
      </c>
      <c r="P53" s="3">
        <f>IFERROR(N(F53),0)+SUM(SharedData!$A$6:$A$8)+ROW()/100000</f>
        <v>2.0005299999999999</v>
      </c>
    </row>
    <row r="54" spans="1:16" ht="18" customHeight="1">
      <c r="A54" s="8" t="s">
        <v>278</v>
      </c>
      <c r="B54" s="8" t="s">
        <v>125</v>
      </c>
      <c r="C54" s="8" t="s">
        <v>279</v>
      </c>
      <c r="D54" s="8" t="s">
        <v>133</v>
      </c>
      <c r="E54" s="2" t="s">
        <v>280</v>
      </c>
      <c r="F54" s="3">
        <f>EXP(0.5)</f>
        <v>1.6487212707001282</v>
      </c>
      <c r="G54" s="8"/>
      <c r="H54" s="8"/>
      <c r="I54" s="8"/>
      <c r="J54" s="8"/>
      <c r="K54" s="8"/>
      <c r="L54" s="8"/>
      <c r="M54" s="6" t="s">
        <v>129</v>
      </c>
      <c r="N54" s="8"/>
      <c r="O54" s="9" t="s">
        <v>130</v>
      </c>
      <c r="P54" s="8"/>
    </row>
    <row r="55" spans="1:16" ht="18" customHeight="1">
      <c r="A55" s="8" t="s">
        <v>281</v>
      </c>
      <c r="B55" s="8" t="s">
        <v>125</v>
      </c>
      <c r="C55" s="8" t="s">
        <v>282</v>
      </c>
      <c r="D55" s="8" t="s">
        <v>133</v>
      </c>
      <c r="E55" s="2" t="s">
        <v>283</v>
      </c>
      <c r="F55" s="3">
        <f>FACT(0.5)</f>
        <v>1</v>
      </c>
      <c r="G55" s="8"/>
      <c r="H55" s="8"/>
      <c r="I55" s="8"/>
      <c r="J55" s="8"/>
      <c r="K55" s="8"/>
      <c r="L55" s="8"/>
      <c r="M55" s="6" t="s">
        <v>129</v>
      </c>
      <c r="N55" s="8"/>
      <c r="O55" s="9" t="s">
        <v>130</v>
      </c>
      <c r="P55" s="8"/>
    </row>
    <row r="56" spans="1:16" ht="18" customHeight="1">
      <c r="A56" s="8" t="s">
        <v>284</v>
      </c>
      <c r="B56" s="8" t="s">
        <v>125</v>
      </c>
      <c r="C56" s="8" t="s">
        <v>285</v>
      </c>
      <c r="D56" s="8" t="s">
        <v>133</v>
      </c>
      <c r="E56" s="2" t="s">
        <v>286</v>
      </c>
      <c r="F56" s="3">
        <f>FACTDOUBLE(0.5)</f>
        <v>1</v>
      </c>
      <c r="G56" s="8"/>
      <c r="H56" s="8"/>
      <c r="I56" s="8"/>
      <c r="J56" s="8"/>
      <c r="K56" s="8"/>
      <c r="L56" s="8"/>
      <c r="M56" s="6" t="s">
        <v>129</v>
      </c>
      <c r="N56" s="8"/>
      <c r="O56" s="9" t="s">
        <v>130</v>
      </c>
      <c r="P56" s="8"/>
    </row>
    <row r="57" spans="1:16" ht="18" customHeight="1">
      <c r="A57" s="8" t="s">
        <v>287</v>
      </c>
      <c r="B57" s="8" t="s">
        <v>125</v>
      </c>
      <c r="C57" s="8" t="s">
        <v>288</v>
      </c>
      <c r="D57" s="8" t="s">
        <v>127</v>
      </c>
      <c r="E57" s="2" t="s">
        <v>289</v>
      </c>
      <c r="F57" s="3">
        <f>FLOOR(SharedData!$A$19,0.25)</f>
        <v>1.5</v>
      </c>
      <c r="G57" s="8"/>
      <c r="H57" s="8"/>
      <c r="I57" s="8"/>
      <c r="J57" s="8"/>
      <c r="K57" s="8"/>
      <c r="L57" s="8"/>
      <c r="M57" s="6" t="s">
        <v>129</v>
      </c>
      <c r="N57" s="8"/>
      <c r="O57" s="9" t="s">
        <v>130</v>
      </c>
      <c r="P57" s="8"/>
    </row>
    <row r="58" spans="1:16" ht="18" customHeight="1">
      <c r="A58" s="8" t="s">
        <v>290</v>
      </c>
      <c r="B58" s="8" t="s">
        <v>125</v>
      </c>
      <c r="C58" s="8" t="s">
        <v>291</v>
      </c>
      <c r="D58" s="8" t="s">
        <v>127</v>
      </c>
      <c r="E58" s="2" t="s">
        <v>292</v>
      </c>
      <c r="F58" s="3">
        <f>_xlfn.FLOOR.MATH(SharedData!$A$19,0.25,1)</f>
        <v>1.5</v>
      </c>
      <c r="G58" s="8"/>
      <c r="H58" s="8"/>
      <c r="I58" s="8"/>
      <c r="J58" s="8"/>
      <c r="K58" s="8"/>
      <c r="L58" s="8"/>
      <c r="M58" s="6" t="s">
        <v>129</v>
      </c>
      <c r="N58" s="8"/>
      <c r="O58" s="9" t="s">
        <v>130</v>
      </c>
      <c r="P58" s="8"/>
    </row>
    <row r="59" spans="1:16" ht="18" customHeight="1">
      <c r="A59" s="8" t="s">
        <v>293</v>
      </c>
      <c r="B59" s="8" t="s">
        <v>125</v>
      </c>
      <c r="C59" s="8" t="s">
        <v>294</v>
      </c>
      <c r="D59" s="8" t="s">
        <v>127</v>
      </c>
      <c r="E59" s="2" t="s">
        <v>295</v>
      </c>
      <c r="F59" s="3">
        <f>_xlfn.FLOOR.PRECISE(SharedData!$A$19,0.25)</f>
        <v>1.5</v>
      </c>
      <c r="G59" s="8"/>
      <c r="H59" s="8"/>
      <c r="I59" s="8"/>
      <c r="J59" s="8"/>
      <c r="K59" s="8"/>
      <c r="L59" s="8"/>
      <c r="M59" s="6" t="s">
        <v>129</v>
      </c>
      <c r="N59" s="8"/>
      <c r="O59" s="9" t="s">
        <v>130</v>
      </c>
      <c r="P59" s="8"/>
    </row>
    <row r="60" spans="1:16" ht="18" customHeight="1">
      <c r="A60" s="8" t="s">
        <v>296</v>
      </c>
      <c r="B60" s="8" t="s">
        <v>125</v>
      </c>
      <c r="C60" s="8" t="s">
        <v>297</v>
      </c>
      <c r="D60" s="8" t="s">
        <v>127</v>
      </c>
      <c r="E60" s="2" t="s">
        <v>298</v>
      </c>
      <c r="F60" s="3">
        <f>GCD(48,180,420)</f>
        <v>12</v>
      </c>
      <c r="G60" s="8"/>
      <c r="H60" s="8"/>
      <c r="I60" s="8"/>
      <c r="J60" s="8"/>
      <c r="K60" s="8"/>
      <c r="L60" s="8"/>
      <c r="M60" s="6" t="s">
        <v>129</v>
      </c>
      <c r="N60" s="8"/>
      <c r="O60" s="9" t="s">
        <v>130</v>
      </c>
      <c r="P60" s="8"/>
    </row>
    <row r="61" spans="1:16" ht="18" customHeight="1">
      <c r="A61" s="8" t="s">
        <v>299</v>
      </c>
      <c r="B61" s="8" t="s">
        <v>170</v>
      </c>
      <c r="C61" s="8" t="s">
        <v>300</v>
      </c>
      <c r="D61" s="8" t="s">
        <v>133</v>
      </c>
      <c r="E61" s="2" t="s">
        <v>301</v>
      </c>
      <c r="F61" s="3">
        <f>GESTEP(10)</f>
        <v>1</v>
      </c>
      <c r="G61" s="8"/>
      <c r="H61" s="8"/>
      <c r="I61" s="8"/>
      <c r="J61" s="8"/>
      <c r="K61" s="8"/>
      <c r="L61" s="8"/>
      <c r="M61" s="6" t="s">
        <v>129</v>
      </c>
      <c r="N61" s="3" t="str">
        <f>IF(ISERROR(F61),"ERROR "&amp;IFERROR(ERROR.TYPE(F61),""),"OK")</f>
        <v>OK</v>
      </c>
      <c r="O61" s="9" t="s">
        <v>130</v>
      </c>
      <c r="P61" s="8"/>
    </row>
    <row r="62" spans="1:16" ht="18" customHeight="1">
      <c r="A62" s="8" t="s">
        <v>302</v>
      </c>
      <c r="B62" s="8" t="s">
        <v>170</v>
      </c>
      <c r="C62" s="8" t="s">
        <v>303</v>
      </c>
      <c r="D62" s="8" t="s">
        <v>127</v>
      </c>
      <c r="E62" s="2" t="s">
        <v>304</v>
      </c>
      <c r="F62" s="3" t="str">
        <f>HEX2BIN("2D",8)</f>
        <v>00101101</v>
      </c>
      <c r="G62" s="8"/>
      <c r="H62" s="8"/>
      <c r="I62" s="8"/>
      <c r="J62" s="8"/>
      <c r="K62" s="8"/>
      <c r="L62" s="8"/>
      <c r="M62" s="6" t="s">
        <v>129</v>
      </c>
      <c r="N62" s="8"/>
      <c r="O62" s="9" t="s">
        <v>130</v>
      </c>
      <c r="P62" s="8"/>
    </row>
    <row r="63" spans="1:16" ht="18" customHeight="1">
      <c r="A63" s="8" t="s">
        <v>305</v>
      </c>
      <c r="B63" s="8" t="s">
        <v>170</v>
      </c>
      <c r="C63" s="8" t="s">
        <v>306</v>
      </c>
      <c r="D63" s="8" t="s">
        <v>127</v>
      </c>
      <c r="E63" s="2" t="s">
        <v>307</v>
      </c>
      <c r="F63" s="3">
        <f>HEX2DEC("FFF")</f>
        <v>4095</v>
      </c>
      <c r="G63" s="8"/>
      <c r="H63" s="8"/>
      <c r="I63" s="8"/>
      <c r="J63" s="8"/>
      <c r="K63" s="8"/>
      <c r="L63" s="8"/>
      <c r="M63" s="6" t="s">
        <v>129</v>
      </c>
      <c r="N63" s="8"/>
      <c r="O63" s="9" t="s">
        <v>130</v>
      </c>
      <c r="P63" s="8"/>
    </row>
    <row r="64" spans="1:16" ht="18" customHeight="1">
      <c r="A64" s="8" t="s">
        <v>308</v>
      </c>
      <c r="B64" s="8" t="s">
        <v>170</v>
      </c>
      <c r="C64" s="8" t="s">
        <v>309</v>
      </c>
      <c r="D64" s="8" t="s">
        <v>127</v>
      </c>
      <c r="E64" s="2" t="s">
        <v>310</v>
      </c>
      <c r="F64" s="3" t="str">
        <f>HEX2OCT("1FF",5)</f>
        <v>00777</v>
      </c>
      <c r="G64" s="8"/>
      <c r="H64" s="8"/>
      <c r="I64" s="8"/>
      <c r="J64" s="8"/>
      <c r="K64" s="8"/>
      <c r="L64" s="8"/>
      <c r="M64" s="6" t="s">
        <v>129</v>
      </c>
      <c r="N64" s="8"/>
      <c r="O64" s="9" t="s">
        <v>130</v>
      </c>
      <c r="P64" s="8"/>
    </row>
    <row r="65" spans="1:16" ht="18" customHeight="1">
      <c r="A65" s="8" t="s">
        <v>311</v>
      </c>
      <c r="B65" s="8" t="s">
        <v>170</v>
      </c>
      <c r="C65" s="8" t="s">
        <v>312</v>
      </c>
      <c r="D65" s="8" t="s">
        <v>133</v>
      </c>
      <c r="E65" s="2" t="s">
        <v>313</v>
      </c>
      <c r="F65" s="3">
        <f>IMABS(COMPLEX(3,4))</f>
        <v>5</v>
      </c>
      <c r="G65" s="8"/>
      <c r="H65" s="8"/>
      <c r="I65" s="8"/>
      <c r="J65" s="8"/>
      <c r="K65" s="8"/>
      <c r="L65" s="8"/>
      <c r="M65" s="6" t="s">
        <v>129</v>
      </c>
      <c r="N65" s="8"/>
      <c r="O65" s="9" t="s">
        <v>130</v>
      </c>
      <c r="P65" s="3">
        <f>IFERROR(N(F65),0)+SUM(SharedData!$A$6:$A$8)+ROW()/100000</f>
        <v>5.0006500000000003</v>
      </c>
    </row>
    <row r="66" spans="1:16" ht="18" customHeight="1">
      <c r="A66" s="8" t="s">
        <v>314</v>
      </c>
      <c r="B66" s="8" t="s">
        <v>170</v>
      </c>
      <c r="C66" s="8" t="s">
        <v>315</v>
      </c>
      <c r="D66" s="8" t="s">
        <v>133</v>
      </c>
      <c r="E66" s="2" t="s">
        <v>316</v>
      </c>
      <c r="F66" s="3">
        <f>IMAGINARY(COMPLEX(3,4))</f>
        <v>4</v>
      </c>
      <c r="G66" s="8"/>
      <c r="H66" s="8"/>
      <c r="I66" s="8"/>
      <c r="J66" s="8"/>
      <c r="K66" s="8"/>
      <c r="L66" s="8"/>
      <c r="M66" s="6" t="s">
        <v>129</v>
      </c>
      <c r="N66" s="8"/>
      <c r="O66" s="9" t="s">
        <v>130</v>
      </c>
      <c r="P66" s="8"/>
    </row>
    <row r="67" spans="1:16" ht="18" customHeight="1">
      <c r="A67" s="8" t="s">
        <v>317</v>
      </c>
      <c r="B67" s="8" t="s">
        <v>170</v>
      </c>
      <c r="C67" s="8" t="s">
        <v>318</v>
      </c>
      <c r="D67" s="8" t="s">
        <v>133</v>
      </c>
      <c r="E67" s="2" t="s">
        <v>319</v>
      </c>
      <c r="F67" s="3">
        <f>IMARGUMENT(COMPLEX(3,4))</f>
        <v>0.92729521800161219</v>
      </c>
      <c r="G67" s="8"/>
      <c r="H67" s="8"/>
      <c r="I67" s="8"/>
      <c r="J67" s="8"/>
      <c r="K67" s="8"/>
      <c r="L67" s="8"/>
      <c r="M67" s="6" t="s">
        <v>129</v>
      </c>
      <c r="N67" s="8"/>
      <c r="O67" s="9" t="s">
        <v>130</v>
      </c>
      <c r="P67" s="8"/>
    </row>
    <row r="68" spans="1:16" ht="18" customHeight="1">
      <c r="A68" s="8" t="s">
        <v>320</v>
      </c>
      <c r="B68" s="8" t="s">
        <v>170</v>
      </c>
      <c r="C68" s="8" t="s">
        <v>321</v>
      </c>
      <c r="D68" s="8" t="s">
        <v>133</v>
      </c>
      <c r="E68" s="2" t="s">
        <v>322</v>
      </c>
      <c r="F68" s="3" t="str">
        <f>IMCONJUGATE(COMPLEX(3,4))</f>
        <v>3-4i</v>
      </c>
      <c r="G68" s="8"/>
      <c r="H68" s="8"/>
      <c r="I68" s="8"/>
      <c r="J68" s="8"/>
      <c r="K68" s="8"/>
      <c r="L68" s="8"/>
      <c r="M68" s="6" t="s">
        <v>129</v>
      </c>
      <c r="N68" s="8"/>
      <c r="O68" s="9" t="s">
        <v>130</v>
      </c>
      <c r="P68" s="8"/>
    </row>
    <row r="69" spans="1:16" ht="18" customHeight="1">
      <c r="A69" s="8" t="s">
        <v>323</v>
      </c>
      <c r="B69" s="8" t="s">
        <v>170</v>
      </c>
      <c r="C69" s="8" t="s">
        <v>324</v>
      </c>
      <c r="D69" s="8" t="s">
        <v>133</v>
      </c>
      <c r="E69" s="2" t="s">
        <v>325</v>
      </c>
      <c r="F69" s="3" t="str">
        <f>IMCOS(COMPLEX(3,4))</f>
        <v>-27.0349456030742-3.85115333481178i</v>
      </c>
      <c r="G69" s="8"/>
      <c r="H69" s="8"/>
      <c r="I69" s="8"/>
      <c r="J69" s="8"/>
      <c r="K69" s="8"/>
      <c r="L69" s="8"/>
      <c r="M69" s="6" t="s">
        <v>129</v>
      </c>
      <c r="N69" s="3" t="str">
        <f>IF(ISERROR(F69),"ERROR "&amp;IFERROR(ERROR.TYPE(F69),""),"OK")</f>
        <v>OK</v>
      </c>
      <c r="O69" s="9" t="s">
        <v>130</v>
      </c>
      <c r="P69" s="8"/>
    </row>
    <row r="70" spans="1:16" ht="18" customHeight="1">
      <c r="A70" s="8" t="s">
        <v>326</v>
      </c>
      <c r="B70" s="8" t="s">
        <v>170</v>
      </c>
      <c r="C70" s="8" t="s">
        <v>327</v>
      </c>
      <c r="D70" s="8" t="s">
        <v>133</v>
      </c>
      <c r="E70" s="2" t="s">
        <v>328</v>
      </c>
      <c r="F70" s="3" t="str">
        <f>_xlfn.IMCOSH(COMPLEX(3,4))</f>
        <v>-6.58066304055116-7.58155274274654i</v>
      </c>
      <c r="G70" s="8"/>
      <c r="H70" s="8"/>
      <c r="I70" s="8"/>
      <c r="J70" s="8"/>
      <c r="K70" s="8"/>
      <c r="L70" s="8"/>
      <c r="M70" s="6" t="s">
        <v>129</v>
      </c>
      <c r="N70" s="8"/>
      <c r="O70" s="9" t="s">
        <v>130</v>
      </c>
      <c r="P70" s="8"/>
    </row>
    <row r="71" spans="1:16" ht="18" customHeight="1">
      <c r="A71" s="8" t="s">
        <v>329</v>
      </c>
      <c r="B71" s="8" t="s">
        <v>170</v>
      </c>
      <c r="C71" s="8" t="s">
        <v>330</v>
      </c>
      <c r="D71" s="8" t="s">
        <v>133</v>
      </c>
      <c r="E71" s="2" t="s">
        <v>331</v>
      </c>
      <c r="F71" s="3" t="str">
        <f>_xlfn.IMCOT(COMPLEX(3,4))</f>
        <v>-0.000187587737983659-1.00064439247156i</v>
      </c>
      <c r="G71" s="8"/>
      <c r="H71" s="8"/>
      <c r="I71" s="8"/>
      <c r="J71" s="8"/>
      <c r="K71" s="8"/>
      <c r="L71" s="8"/>
      <c r="M71" s="6" t="s">
        <v>129</v>
      </c>
      <c r="N71" s="8"/>
      <c r="O71" s="9" t="s">
        <v>130</v>
      </c>
      <c r="P71" s="8"/>
    </row>
    <row r="72" spans="1:16" ht="18" customHeight="1">
      <c r="A72" s="8" t="s">
        <v>332</v>
      </c>
      <c r="B72" s="8" t="s">
        <v>170</v>
      </c>
      <c r="C72" s="8" t="s">
        <v>333</v>
      </c>
      <c r="D72" s="8" t="s">
        <v>133</v>
      </c>
      <c r="E72" s="2" t="s">
        <v>334</v>
      </c>
      <c r="F72" s="3" t="str">
        <f>_xlfn.IMCSC(COMPLEX(3,4))</f>
        <v>0.0051744731840194+0.036275889628626i</v>
      </c>
      <c r="G72" s="8"/>
      <c r="H72" s="8"/>
      <c r="I72" s="8"/>
      <c r="J72" s="8"/>
      <c r="K72" s="8"/>
      <c r="L72" s="8"/>
      <c r="M72" s="6" t="s">
        <v>129</v>
      </c>
      <c r="N72" s="8"/>
      <c r="O72" s="9" t="s">
        <v>130</v>
      </c>
      <c r="P72" s="8"/>
    </row>
    <row r="73" spans="1:16" ht="18" customHeight="1">
      <c r="A73" s="8" t="s">
        <v>335</v>
      </c>
      <c r="B73" s="8" t="s">
        <v>170</v>
      </c>
      <c r="C73" s="8" t="s">
        <v>336</v>
      </c>
      <c r="D73" s="8" t="s">
        <v>133</v>
      </c>
      <c r="E73" s="2" t="s">
        <v>337</v>
      </c>
      <c r="F73" s="3" t="str">
        <f>_xlfn.IMCSCH(COMPLEX(3,4))</f>
        <v>-0.0648774713706355+0.0754898329158637i</v>
      </c>
      <c r="G73" s="8"/>
      <c r="H73" s="8"/>
      <c r="I73" s="8"/>
      <c r="J73" s="8"/>
      <c r="K73" s="8"/>
      <c r="L73" s="8"/>
      <c r="M73" s="6" t="s">
        <v>129</v>
      </c>
      <c r="N73" s="8"/>
      <c r="O73" s="9" t="s">
        <v>130</v>
      </c>
      <c r="P73" s="8"/>
    </row>
    <row r="74" spans="1:16" ht="18" customHeight="1">
      <c r="A74" s="8" t="s">
        <v>338</v>
      </c>
      <c r="B74" s="8" t="s">
        <v>170</v>
      </c>
      <c r="C74" s="8" t="s">
        <v>339</v>
      </c>
      <c r="D74" s="8" t="s">
        <v>133</v>
      </c>
      <c r="E74" s="2" t="s">
        <v>340</v>
      </c>
      <c r="F74" s="3" t="str">
        <f>IMDIV(COMPLEX(3,4),COMPLEX(1,-2))</f>
        <v>-1+2i</v>
      </c>
      <c r="G74" s="8"/>
      <c r="H74" s="8"/>
      <c r="I74" s="8"/>
      <c r="J74" s="8"/>
      <c r="K74" s="8"/>
      <c r="L74" s="8"/>
      <c r="M74" s="6" t="s">
        <v>129</v>
      </c>
      <c r="N74" s="8"/>
      <c r="O74" s="9" t="s">
        <v>130</v>
      </c>
      <c r="P74" s="8"/>
    </row>
    <row r="75" spans="1:16" ht="18" customHeight="1">
      <c r="A75" s="8" t="s">
        <v>341</v>
      </c>
      <c r="B75" s="8" t="s">
        <v>170</v>
      </c>
      <c r="C75" s="8" t="s">
        <v>342</v>
      </c>
      <c r="D75" s="8" t="s">
        <v>133</v>
      </c>
      <c r="E75" s="2" t="s">
        <v>343</v>
      </c>
      <c r="F75" s="3" t="str">
        <f>IMEXP(COMPLEX(3,4))</f>
        <v>-13.1287830814622-15.200784463068i</v>
      </c>
      <c r="G75" s="8"/>
      <c r="H75" s="8"/>
      <c r="I75" s="8"/>
      <c r="J75" s="8"/>
      <c r="K75" s="8"/>
      <c r="L75" s="8"/>
      <c r="M75" s="6" t="s">
        <v>129</v>
      </c>
      <c r="N75" s="8"/>
      <c r="O75" s="9" t="s">
        <v>130</v>
      </c>
      <c r="P75" s="8"/>
    </row>
    <row r="76" spans="1:16" ht="18" customHeight="1">
      <c r="A76" s="8" t="s">
        <v>344</v>
      </c>
      <c r="B76" s="8" t="s">
        <v>170</v>
      </c>
      <c r="C76" s="8" t="s">
        <v>345</v>
      </c>
      <c r="D76" s="8" t="s">
        <v>133</v>
      </c>
      <c r="E76" s="2" t="s">
        <v>346</v>
      </c>
      <c r="F76" s="3" t="str">
        <f>IMLN(COMPLEX(3,4))</f>
        <v>1.6094379124341+0.927295218001612i</v>
      </c>
      <c r="G76" s="8"/>
      <c r="H76" s="8"/>
      <c r="I76" s="8"/>
      <c r="J76" s="8"/>
      <c r="K76" s="8"/>
      <c r="L76" s="8"/>
      <c r="M76" s="6" t="s">
        <v>129</v>
      </c>
      <c r="N76" s="8"/>
      <c r="O76" s="9" t="s">
        <v>130</v>
      </c>
      <c r="P76" s="8"/>
    </row>
    <row r="77" spans="1:16" ht="18" customHeight="1">
      <c r="A77" s="8" t="s">
        <v>347</v>
      </c>
      <c r="B77" s="8" t="s">
        <v>170</v>
      </c>
      <c r="C77" s="8" t="s">
        <v>348</v>
      </c>
      <c r="D77" s="8" t="s">
        <v>133</v>
      </c>
      <c r="E77" s="2" t="s">
        <v>349</v>
      </c>
      <c r="F77" s="3" t="str">
        <f>IMLOG10(COMPLEX(3,4))</f>
        <v>0.698970004336019+0.402719196273373i</v>
      </c>
      <c r="G77" s="8"/>
      <c r="H77" s="8"/>
      <c r="I77" s="8"/>
      <c r="J77" s="8"/>
      <c r="K77" s="8"/>
      <c r="L77" s="8"/>
      <c r="M77" s="6" t="s">
        <v>129</v>
      </c>
      <c r="N77" s="3" t="str">
        <f>IF(ISERROR(F77),"ERROR "&amp;IFERROR(ERROR.TYPE(F77),""),"OK")</f>
        <v>OK</v>
      </c>
      <c r="O77" s="9" t="s">
        <v>130</v>
      </c>
      <c r="P77" s="3">
        <f>IFERROR(N(F77),0)+SUM(SharedData!$A$6:$A$8)+ROW()/100000</f>
        <v>7.6999999999999996E-4</v>
      </c>
    </row>
    <row r="78" spans="1:16" ht="18" customHeight="1">
      <c r="A78" s="8" t="s">
        <v>350</v>
      </c>
      <c r="B78" s="8" t="s">
        <v>170</v>
      </c>
      <c r="C78" s="8" t="s">
        <v>351</v>
      </c>
      <c r="D78" s="8" t="s">
        <v>133</v>
      </c>
      <c r="E78" s="2" t="s">
        <v>352</v>
      </c>
      <c r="F78" s="3" t="str">
        <f>IMLOG2(COMPLEX(3,4))</f>
        <v>2.32192809488736+1.33780421245098i</v>
      </c>
      <c r="G78" s="8"/>
      <c r="H78" s="8"/>
      <c r="I78" s="8"/>
      <c r="J78" s="8"/>
      <c r="K78" s="8"/>
      <c r="L78" s="8"/>
      <c r="M78" s="6" t="s">
        <v>129</v>
      </c>
      <c r="N78" s="8"/>
      <c r="O78" s="9" t="s">
        <v>130</v>
      </c>
      <c r="P78" s="8"/>
    </row>
    <row r="79" spans="1:16" ht="18" customHeight="1">
      <c r="A79" s="8" t="s">
        <v>353</v>
      </c>
      <c r="B79" s="8" t="s">
        <v>170</v>
      </c>
      <c r="C79" s="8" t="s">
        <v>354</v>
      </c>
      <c r="D79" s="8" t="s">
        <v>137</v>
      </c>
      <c r="E79" s="2" t="s">
        <v>355</v>
      </c>
      <c r="F79" s="3" t="str">
        <f>IMPOWER(COMPLEX(3,4),3)</f>
        <v>-117+44i</v>
      </c>
      <c r="G79" s="8"/>
      <c r="H79" s="8"/>
      <c r="I79" s="8"/>
      <c r="J79" s="8"/>
      <c r="K79" s="8"/>
      <c r="L79" s="8"/>
      <c r="M79" s="6" t="s">
        <v>129</v>
      </c>
      <c r="N79" s="8"/>
      <c r="O79" s="9" t="s">
        <v>130</v>
      </c>
      <c r="P79" s="8"/>
    </row>
    <row r="80" spans="1:16" ht="18" customHeight="1">
      <c r="A80" s="8" t="s">
        <v>356</v>
      </c>
      <c r="B80" s="8" t="s">
        <v>170</v>
      </c>
      <c r="C80" s="8" t="s">
        <v>357</v>
      </c>
      <c r="D80" s="8" t="s">
        <v>133</v>
      </c>
      <c r="E80" s="2" t="s">
        <v>358</v>
      </c>
      <c r="F80" s="3" t="str">
        <f>IMPRODUCT(COMPLEX(3,4),COMPLEX(1,-2))</f>
        <v>11-2i</v>
      </c>
      <c r="G80" s="8"/>
      <c r="H80" s="8"/>
      <c r="I80" s="8"/>
      <c r="J80" s="8"/>
      <c r="K80" s="8"/>
      <c r="L80" s="8"/>
      <c r="M80" s="6" t="s">
        <v>129</v>
      </c>
      <c r="N80" s="8"/>
      <c r="O80" s="9" t="s">
        <v>130</v>
      </c>
      <c r="P80" s="8"/>
    </row>
    <row r="81" spans="1:16" ht="18" customHeight="1">
      <c r="A81" s="8" t="s">
        <v>359</v>
      </c>
      <c r="B81" s="8" t="s">
        <v>170</v>
      </c>
      <c r="C81" s="8" t="s">
        <v>360</v>
      </c>
      <c r="D81" s="8" t="s">
        <v>133</v>
      </c>
      <c r="E81" s="2" t="s">
        <v>361</v>
      </c>
      <c r="F81" s="3">
        <f>IMREAL(COMPLEX(3,4))</f>
        <v>3</v>
      </c>
      <c r="G81" s="8"/>
      <c r="H81" s="8"/>
      <c r="I81" s="8"/>
      <c r="J81" s="8"/>
      <c r="K81" s="8"/>
      <c r="L81" s="8"/>
      <c r="M81" s="6" t="s">
        <v>129</v>
      </c>
      <c r="N81" s="8"/>
      <c r="O81" s="9" t="s">
        <v>130</v>
      </c>
      <c r="P81" s="8"/>
    </row>
    <row r="82" spans="1:16" ht="18" customHeight="1">
      <c r="A82" s="8" t="s">
        <v>362</v>
      </c>
      <c r="B82" s="8" t="s">
        <v>170</v>
      </c>
      <c r="C82" s="8" t="s">
        <v>363</v>
      </c>
      <c r="D82" s="8" t="s">
        <v>133</v>
      </c>
      <c r="E82" s="2" t="s">
        <v>364</v>
      </c>
      <c r="F82" s="3" t="str">
        <f>_xlfn.IMSEC(COMPLEX(3,4))</f>
        <v>-0.0362534969158689+0.00516434460775318i</v>
      </c>
      <c r="G82" s="8"/>
      <c r="H82" s="8"/>
      <c r="I82" s="8"/>
      <c r="J82" s="8"/>
      <c r="K82" s="8"/>
      <c r="L82" s="8"/>
      <c r="M82" s="6" t="s">
        <v>129</v>
      </c>
      <c r="N82" s="8"/>
      <c r="O82" s="9" t="s">
        <v>130</v>
      </c>
      <c r="P82" s="8"/>
    </row>
    <row r="83" spans="1:16" ht="18" customHeight="1">
      <c r="A83" s="8" t="s">
        <v>365</v>
      </c>
      <c r="B83" s="8" t="s">
        <v>170</v>
      </c>
      <c r="C83" s="8" t="s">
        <v>366</v>
      </c>
      <c r="D83" s="8" t="s">
        <v>133</v>
      </c>
      <c r="E83" s="2" t="s">
        <v>367</v>
      </c>
      <c r="F83" s="3" t="str">
        <f>_xlfn.IMSECH(COMPLEX(3,4))</f>
        <v>-0.065294027857947+0.0752249603027732i</v>
      </c>
      <c r="G83" s="8"/>
      <c r="H83" s="8"/>
      <c r="I83" s="8"/>
      <c r="J83" s="8"/>
      <c r="K83" s="8"/>
      <c r="L83" s="8"/>
      <c r="M83" s="6" t="s">
        <v>129</v>
      </c>
      <c r="N83" s="8"/>
      <c r="O83" s="9" t="s">
        <v>130</v>
      </c>
      <c r="P83" s="8"/>
    </row>
    <row r="84" spans="1:16" ht="18" customHeight="1">
      <c r="A84" s="8" t="s">
        <v>368</v>
      </c>
      <c r="B84" s="8" t="s">
        <v>170</v>
      </c>
      <c r="C84" s="8" t="s">
        <v>369</v>
      </c>
      <c r="D84" s="8" t="s">
        <v>133</v>
      </c>
      <c r="E84" s="2" t="s">
        <v>370</v>
      </c>
      <c r="F84" s="3" t="str">
        <f>IMSIN(COMPLEX(3,4))</f>
        <v>3.85373803791938-27.0168132580039i</v>
      </c>
      <c r="G84" s="8"/>
      <c r="H84" s="8"/>
      <c r="I84" s="8"/>
      <c r="J84" s="8"/>
      <c r="K84" s="8"/>
      <c r="L84" s="8"/>
      <c r="M84" s="6" t="s">
        <v>129</v>
      </c>
      <c r="N84" s="8"/>
      <c r="O84" s="9" t="s">
        <v>130</v>
      </c>
      <c r="P84" s="8"/>
    </row>
    <row r="85" spans="1:16" ht="18" customHeight="1">
      <c r="A85" s="8" t="s">
        <v>371</v>
      </c>
      <c r="B85" s="8" t="s">
        <v>170</v>
      </c>
      <c r="C85" s="8" t="s">
        <v>372</v>
      </c>
      <c r="D85" s="8" t="s">
        <v>133</v>
      </c>
      <c r="E85" s="2" t="s">
        <v>373</v>
      </c>
      <c r="F85" s="3" t="str">
        <f>_xlfn.IMSINH(COMPLEX(3,4))</f>
        <v>-6.548120040911-7.61923172032141i</v>
      </c>
      <c r="G85" s="8"/>
      <c r="H85" s="8"/>
      <c r="I85" s="8"/>
      <c r="J85" s="8"/>
      <c r="K85" s="8"/>
      <c r="L85" s="8"/>
      <c r="M85" s="6" t="s">
        <v>129</v>
      </c>
      <c r="N85" s="3" t="str">
        <f>IF(ISERROR(F85),"ERROR "&amp;IFERROR(ERROR.TYPE(F85),""),"OK")</f>
        <v>OK</v>
      </c>
      <c r="O85" s="9" t="s">
        <v>130</v>
      </c>
      <c r="P85" s="8"/>
    </row>
    <row r="86" spans="1:16" ht="18" customHeight="1">
      <c r="A86" s="8" t="s">
        <v>374</v>
      </c>
      <c r="B86" s="8" t="s">
        <v>170</v>
      </c>
      <c r="C86" s="8" t="s">
        <v>375</v>
      </c>
      <c r="D86" s="8" t="s">
        <v>133</v>
      </c>
      <c r="E86" s="2" t="s">
        <v>376</v>
      </c>
      <c r="F86" s="3" t="str">
        <f>IMSQRT(COMPLEX(3,4))</f>
        <v>2+i</v>
      </c>
      <c r="G86" s="8"/>
      <c r="H86" s="8"/>
      <c r="I86" s="8"/>
      <c r="J86" s="8"/>
      <c r="K86" s="8"/>
      <c r="L86" s="8"/>
      <c r="M86" s="6" t="s">
        <v>129</v>
      </c>
      <c r="N86" s="8"/>
      <c r="O86" s="9" t="s">
        <v>130</v>
      </c>
      <c r="P86" s="8"/>
    </row>
    <row r="87" spans="1:16" ht="18" customHeight="1">
      <c r="A87" s="8" t="s">
        <v>377</v>
      </c>
      <c r="B87" s="8" t="s">
        <v>170</v>
      </c>
      <c r="C87" s="8" t="s">
        <v>378</v>
      </c>
      <c r="D87" s="8" t="s">
        <v>133</v>
      </c>
      <c r="E87" s="2" t="s">
        <v>379</v>
      </c>
      <c r="F87" s="3" t="str">
        <f>IMSUB(COMPLEX(3,4),COMPLEX(1,-2))</f>
        <v>2+6i</v>
      </c>
      <c r="G87" s="8"/>
      <c r="H87" s="8"/>
      <c r="I87" s="8"/>
      <c r="J87" s="8"/>
      <c r="K87" s="8"/>
      <c r="L87" s="8"/>
      <c r="M87" s="6" t="s">
        <v>129</v>
      </c>
      <c r="N87" s="8"/>
      <c r="O87" s="9" t="s">
        <v>130</v>
      </c>
      <c r="P87" s="8"/>
    </row>
    <row r="88" spans="1:16" ht="18" customHeight="1">
      <c r="A88" s="8" t="s">
        <v>380</v>
      </c>
      <c r="B88" s="8" t="s">
        <v>170</v>
      </c>
      <c r="C88" s="8" t="s">
        <v>381</v>
      </c>
      <c r="D88" s="8" t="s">
        <v>133</v>
      </c>
      <c r="E88" s="2" t="s">
        <v>382</v>
      </c>
      <c r="F88" s="3" t="str">
        <f>IMSUM(COMPLEX(3,4),COMPLEX(1,-2))</f>
        <v>4+2i</v>
      </c>
      <c r="G88" s="8"/>
      <c r="H88" s="8"/>
      <c r="I88" s="8"/>
      <c r="J88" s="8"/>
      <c r="K88" s="8"/>
      <c r="L88" s="8"/>
      <c r="M88" s="6" t="s">
        <v>129</v>
      </c>
      <c r="N88" s="8"/>
      <c r="O88" s="9" t="s">
        <v>130</v>
      </c>
      <c r="P88" s="8"/>
    </row>
    <row r="89" spans="1:16" ht="18" customHeight="1">
      <c r="A89" s="8" t="s">
        <v>383</v>
      </c>
      <c r="B89" s="8" t="s">
        <v>170</v>
      </c>
      <c r="C89" s="8" t="s">
        <v>384</v>
      </c>
      <c r="D89" s="8" t="s">
        <v>133</v>
      </c>
      <c r="E89" s="2" t="s">
        <v>385</v>
      </c>
      <c r="F89" s="3" t="str">
        <f>_xlfn.IMTAN(COMPLEX(3,4))</f>
        <v>-0.000187346204629478+0.999355987381473i</v>
      </c>
      <c r="G89" s="8"/>
      <c r="H89" s="8"/>
      <c r="I89" s="8"/>
      <c r="J89" s="8"/>
      <c r="K89" s="8"/>
      <c r="L89" s="8"/>
      <c r="M89" s="6" t="s">
        <v>129</v>
      </c>
      <c r="N89" s="8"/>
      <c r="O89" s="9" t="s">
        <v>130</v>
      </c>
      <c r="P89" s="3">
        <f>IFERROR(N(F89),0)+SUM(SharedData!$A$6:$A$8)+ROW()/100000</f>
        <v>8.8999999999999995E-4</v>
      </c>
    </row>
    <row r="90" spans="1:16" ht="18" customHeight="1">
      <c r="A90" s="8" t="s">
        <v>386</v>
      </c>
      <c r="B90" s="8" t="s">
        <v>125</v>
      </c>
      <c r="C90" s="8" t="s">
        <v>387</v>
      </c>
      <c r="D90" s="8" t="s">
        <v>133</v>
      </c>
      <c r="E90" s="2" t="s">
        <v>388</v>
      </c>
      <c r="F90" s="3">
        <f>INT(0.5)</f>
        <v>0</v>
      </c>
      <c r="G90" s="8"/>
      <c r="H90" s="8"/>
      <c r="I90" s="8"/>
      <c r="J90" s="8"/>
      <c r="K90" s="8"/>
      <c r="L90" s="8"/>
      <c r="M90" s="6" t="s">
        <v>129</v>
      </c>
      <c r="N90" s="8"/>
      <c r="O90" s="9" t="s">
        <v>130</v>
      </c>
      <c r="P90" s="8"/>
    </row>
    <row r="91" spans="1:16" ht="18" customHeight="1">
      <c r="A91" s="8" t="s">
        <v>389</v>
      </c>
      <c r="B91" s="8" t="s">
        <v>125</v>
      </c>
      <c r="C91" s="8" t="s">
        <v>390</v>
      </c>
      <c r="D91" s="8" t="s">
        <v>133</v>
      </c>
      <c r="E91" s="2" t="s">
        <v>391</v>
      </c>
      <c r="F91" s="3">
        <f>ISO.CEILING(0.5)</f>
        <v>1</v>
      </c>
      <c r="G91" s="8"/>
      <c r="H91" s="8"/>
      <c r="I91" s="8"/>
      <c r="J91" s="8"/>
      <c r="K91" s="8"/>
      <c r="L91" s="8"/>
      <c r="M91" s="6" t="s">
        <v>129</v>
      </c>
      <c r="N91" s="8"/>
      <c r="O91" s="9" t="s">
        <v>130</v>
      </c>
      <c r="P91" s="8"/>
    </row>
    <row r="92" spans="1:16" ht="18" customHeight="1">
      <c r="A92" s="8" t="s">
        <v>392</v>
      </c>
      <c r="B92" s="8" t="s">
        <v>125</v>
      </c>
      <c r="C92" s="8" t="s">
        <v>393</v>
      </c>
      <c r="D92" s="8" t="s">
        <v>127</v>
      </c>
      <c r="E92" s="2" t="s">
        <v>394</v>
      </c>
      <c r="F92" s="3">
        <f>LCM(12,18,30)</f>
        <v>180</v>
      </c>
      <c r="G92" s="8"/>
      <c r="H92" s="8"/>
      <c r="I92" s="8"/>
      <c r="J92" s="8"/>
      <c r="K92" s="8"/>
      <c r="L92" s="8"/>
      <c r="M92" s="6" t="s">
        <v>129</v>
      </c>
      <c r="N92" s="8"/>
      <c r="O92" s="9" t="s">
        <v>130</v>
      </c>
      <c r="P92" s="8"/>
    </row>
    <row r="93" spans="1:16" ht="18" customHeight="1">
      <c r="A93" s="8" t="s">
        <v>395</v>
      </c>
      <c r="B93" s="8" t="s">
        <v>125</v>
      </c>
      <c r="C93" s="8" t="s">
        <v>396</v>
      </c>
      <c r="D93" s="8" t="s">
        <v>133</v>
      </c>
      <c r="E93" s="2" t="s">
        <v>397</v>
      </c>
      <c r="F93" s="3">
        <f>LN(0.5)</f>
        <v>-0.69314718055994529</v>
      </c>
      <c r="G93" s="8"/>
      <c r="H93" s="8"/>
      <c r="I93" s="8"/>
      <c r="J93" s="8"/>
      <c r="K93" s="8"/>
      <c r="L93" s="8"/>
      <c r="M93" s="6" t="s">
        <v>129</v>
      </c>
      <c r="N93" s="3" t="str">
        <f>IF(ISERROR(F93),"ERROR "&amp;IFERROR(ERROR.TYPE(F93),""),"OK")</f>
        <v>OK</v>
      </c>
      <c r="O93" s="9" t="s">
        <v>130</v>
      </c>
      <c r="P93" s="8"/>
    </row>
    <row r="94" spans="1:16" ht="18" customHeight="1">
      <c r="A94" s="8" t="s">
        <v>398</v>
      </c>
      <c r="B94" s="8" t="s">
        <v>125</v>
      </c>
      <c r="C94" s="8" t="s">
        <v>399</v>
      </c>
      <c r="D94" s="8" t="s">
        <v>133</v>
      </c>
      <c r="E94" s="2" t="s">
        <v>400</v>
      </c>
      <c r="F94" s="3">
        <f>LOG(0.5)</f>
        <v>-0.3010299956639812</v>
      </c>
      <c r="G94" s="8"/>
      <c r="H94" s="8"/>
      <c r="I94" s="8"/>
      <c r="J94" s="8"/>
      <c r="K94" s="8"/>
      <c r="L94" s="8"/>
      <c r="M94" s="6" t="s">
        <v>129</v>
      </c>
      <c r="N94" s="8"/>
      <c r="O94" s="9" t="s">
        <v>130</v>
      </c>
      <c r="P94" s="8"/>
    </row>
    <row r="95" spans="1:16" ht="18" customHeight="1">
      <c r="A95" s="8" t="s">
        <v>401</v>
      </c>
      <c r="B95" s="8" t="s">
        <v>125</v>
      </c>
      <c r="C95" s="8" t="s">
        <v>402</v>
      </c>
      <c r="D95" s="8" t="s">
        <v>133</v>
      </c>
      <c r="E95" s="2" t="s">
        <v>403</v>
      </c>
      <c r="F95" s="3">
        <f>LOG10(0.5)</f>
        <v>-0.3010299956639812</v>
      </c>
      <c r="G95" s="8"/>
      <c r="H95" s="8"/>
      <c r="I95" s="8"/>
      <c r="J95" s="8"/>
      <c r="K95" s="8"/>
      <c r="L95" s="8"/>
      <c r="M95" s="6" t="s">
        <v>129</v>
      </c>
      <c r="N95" s="8"/>
      <c r="O95" s="9" t="s">
        <v>130</v>
      </c>
      <c r="P95" s="8"/>
    </row>
    <row r="96" spans="1:16" ht="18" customHeight="1">
      <c r="A96" s="8" t="s">
        <v>404</v>
      </c>
      <c r="B96" s="8" t="s">
        <v>125</v>
      </c>
      <c r="C96" s="8" t="s">
        <v>405</v>
      </c>
      <c r="D96" s="8" t="s">
        <v>137</v>
      </c>
      <c r="E96" s="2" t="s">
        <v>406</v>
      </c>
      <c r="F96" s="3">
        <f>LOGINV(0.6,2,0.5)</f>
        <v>8.3869216956904431</v>
      </c>
      <c r="G96" s="8"/>
      <c r="H96" s="8"/>
      <c r="I96" s="8"/>
      <c r="J96" s="8"/>
      <c r="K96" s="8"/>
      <c r="L96" s="8"/>
      <c r="M96" s="6" t="s">
        <v>129</v>
      </c>
      <c r="N96" s="8"/>
      <c r="O96" s="9" t="s">
        <v>130</v>
      </c>
      <c r="P96" s="8"/>
    </row>
    <row r="97" spans="1:16" ht="18" customHeight="1">
      <c r="A97" s="8" t="s">
        <v>407</v>
      </c>
      <c r="B97" s="8" t="s">
        <v>125</v>
      </c>
      <c r="C97" s="8" t="s">
        <v>408</v>
      </c>
      <c r="D97" s="8" t="s">
        <v>137</v>
      </c>
      <c r="E97" s="2" t="s">
        <v>409</v>
      </c>
      <c r="F97" s="3">
        <f>_xlfn.LOGNORM.DIST(4,2,0.5,TRUE)</f>
        <v>0.10983402486810033</v>
      </c>
      <c r="G97" s="8"/>
      <c r="H97" s="8"/>
      <c r="I97" s="8"/>
      <c r="J97" s="8"/>
      <c r="K97" s="8"/>
      <c r="L97" s="8"/>
      <c r="M97" s="6" t="s">
        <v>129</v>
      </c>
      <c r="N97" s="8"/>
      <c r="O97" s="9" t="s">
        <v>130</v>
      </c>
      <c r="P97" s="8"/>
    </row>
    <row r="98" spans="1:16" ht="18" customHeight="1">
      <c r="A98" s="8" t="s">
        <v>410</v>
      </c>
      <c r="B98" s="8" t="s">
        <v>125</v>
      </c>
      <c r="C98" s="8" t="s">
        <v>411</v>
      </c>
      <c r="D98" s="8" t="s">
        <v>137</v>
      </c>
      <c r="E98" s="2" t="s">
        <v>412</v>
      </c>
      <c r="F98" s="3">
        <f>_xlfn.LOGNORM.INV(0.6,2,0.5)</f>
        <v>8.3869216956904431</v>
      </c>
      <c r="G98" s="8"/>
      <c r="H98" s="8"/>
      <c r="I98" s="8"/>
      <c r="J98" s="8"/>
      <c r="K98" s="8"/>
      <c r="L98" s="8"/>
      <c r="M98" s="6" t="s">
        <v>129</v>
      </c>
      <c r="N98" s="8"/>
      <c r="O98" s="9" t="s">
        <v>130</v>
      </c>
      <c r="P98" s="8"/>
    </row>
    <row r="99" spans="1:16" ht="18" customHeight="1">
      <c r="A99" s="8" t="s">
        <v>413</v>
      </c>
      <c r="B99" s="8" t="s">
        <v>125</v>
      </c>
      <c r="C99" s="8" t="s">
        <v>414</v>
      </c>
      <c r="D99" s="8" t="s">
        <v>137</v>
      </c>
      <c r="E99" s="2" t="s">
        <v>415</v>
      </c>
      <c r="F99" s="3">
        <f>LOGNORMDIST(4,2,0.5)</f>
        <v>0.10983402486810033</v>
      </c>
      <c r="G99" s="8"/>
      <c r="H99" s="8"/>
      <c r="I99" s="8"/>
      <c r="J99" s="8"/>
      <c r="K99" s="8"/>
      <c r="L99" s="8"/>
      <c r="M99" s="6" t="s">
        <v>129</v>
      </c>
      <c r="N99" s="8"/>
      <c r="O99" s="9" t="s">
        <v>130</v>
      </c>
      <c r="P99" s="8"/>
    </row>
    <row r="100" spans="1:16" ht="18" customHeight="1">
      <c r="A100" s="8" t="s">
        <v>416</v>
      </c>
      <c r="B100" s="8" t="s">
        <v>125</v>
      </c>
      <c r="C100" s="8" t="s">
        <v>417</v>
      </c>
      <c r="D100" s="8" t="s">
        <v>127</v>
      </c>
      <c r="E100" s="2" t="s">
        <v>418</v>
      </c>
      <c r="F100" s="3">
        <f>MDETERM({1,2;3,4})</f>
        <v>-2</v>
      </c>
      <c r="G100" s="8"/>
      <c r="H100" s="8"/>
      <c r="I100" s="8"/>
      <c r="J100" s="8"/>
      <c r="K100" s="8"/>
      <c r="L100" s="8"/>
      <c r="M100" s="6" t="s">
        <v>129</v>
      </c>
      <c r="N100" s="8"/>
      <c r="O100" s="9" t="s">
        <v>130</v>
      </c>
      <c r="P100" s="8"/>
    </row>
    <row r="101" spans="1:16" ht="18" customHeight="1">
      <c r="A101" s="8" t="s">
        <v>419</v>
      </c>
      <c r="B101" s="8" t="s">
        <v>125</v>
      </c>
      <c r="C101" s="8" t="s">
        <v>420</v>
      </c>
      <c r="D101" s="8" t="s">
        <v>137</v>
      </c>
      <c r="E101" s="2" t="s">
        <v>421</v>
      </c>
      <c r="F101" s="3">
        <f>MOD(SharedData!$A$19,0.25)</f>
        <v>0</v>
      </c>
      <c r="G101" s="8"/>
      <c r="H101" s="8"/>
      <c r="I101" s="8"/>
      <c r="J101" s="8"/>
      <c r="K101" s="8"/>
      <c r="L101" s="8"/>
      <c r="M101" s="6" t="s">
        <v>129</v>
      </c>
      <c r="N101" s="3" t="str">
        <f>IF(ISERROR(F101),"ERROR "&amp;IFERROR(ERROR.TYPE(F101),""),"OK")</f>
        <v>OK</v>
      </c>
      <c r="O101" s="9" t="s">
        <v>130</v>
      </c>
      <c r="P101" s="3">
        <f>IFERROR(N(F101),0)+SUM(SharedData!$A$6:$A$8)+ROW()/100000</f>
        <v>1.01E-3</v>
      </c>
    </row>
    <row r="102" spans="1:16" ht="18" customHeight="1">
      <c r="A102" s="8" t="s">
        <v>422</v>
      </c>
      <c r="B102" s="8" t="s">
        <v>125</v>
      </c>
      <c r="C102" s="8" t="s">
        <v>423</v>
      </c>
      <c r="D102" s="8" t="s">
        <v>137</v>
      </c>
      <c r="E102" s="2" t="s">
        <v>424</v>
      </c>
      <c r="F102" s="3">
        <f>MROUND(SharedData!$A$19,0.25)</f>
        <v>1.5</v>
      </c>
      <c r="G102" s="8"/>
      <c r="H102" s="8"/>
      <c r="I102" s="8"/>
      <c r="J102" s="8"/>
      <c r="K102" s="8"/>
      <c r="L102" s="8"/>
      <c r="M102" s="6" t="s">
        <v>129</v>
      </c>
      <c r="N102" s="8"/>
      <c r="O102" s="9" t="s">
        <v>130</v>
      </c>
      <c r="P102" s="8"/>
    </row>
    <row r="103" spans="1:16" ht="18" customHeight="1">
      <c r="A103" s="8" t="s">
        <v>425</v>
      </c>
      <c r="B103" s="8" t="s">
        <v>125</v>
      </c>
      <c r="C103" s="8" t="s">
        <v>426</v>
      </c>
      <c r="D103" s="8" t="s">
        <v>133</v>
      </c>
      <c r="E103" s="2" t="s">
        <v>427</v>
      </c>
      <c r="F103" s="3">
        <f>MULTINOMIAL(0.5)</f>
        <v>1</v>
      </c>
      <c r="G103" s="8"/>
      <c r="H103" s="8"/>
      <c r="I103" s="8"/>
      <c r="J103" s="8"/>
      <c r="K103" s="8"/>
      <c r="L103" s="8"/>
      <c r="M103" s="6" t="s">
        <v>129</v>
      </c>
      <c r="N103" s="8"/>
      <c r="O103" s="9" t="s">
        <v>130</v>
      </c>
      <c r="P103" s="8"/>
    </row>
    <row r="104" spans="1:16" ht="18" customHeight="1">
      <c r="A104" s="8" t="s">
        <v>428</v>
      </c>
      <c r="B104" s="8" t="s">
        <v>170</v>
      </c>
      <c r="C104" s="8" t="s">
        <v>429</v>
      </c>
      <c r="D104" s="8" t="s">
        <v>127</v>
      </c>
      <c r="E104" s="2" t="s">
        <v>430</v>
      </c>
      <c r="F104" s="3" t="str">
        <f>OCT2BIN("55",8)</f>
        <v>00101101</v>
      </c>
      <c r="G104" s="8"/>
      <c r="H104" s="8"/>
      <c r="I104" s="8"/>
      <c r="J104" s="8"/>
      <c r="K104" s="8"/>
      <c r="L104" s="8"/>
      <c r="M104" s="6" t="s">
        <v>129</v>
      </c>
      <c r="N104" s="8"/>
      <c r="O104" s="9" t="s">
        <v>130</v>
      </c>
      <c r="P104" s="8"/>
    </row>
    <row r="105" spans="1:16" ht="18" customHeight="1">
      <c r="A105" s="8" t="s">
        <v>431</v>
      </c>
      <c r="B105" s="8" t="s">
        <v>170</v>
      </c>
      <c r="C105" s="8" t="s">
        <v>432</v>
      </c>
      <c r="D105" s="8" t="s">
        <v>127</v>
      </c>
      <c r="E105" s="2" t="s">
        <v>433</v>
      </c>
      <c r="F105" s="3">
        <f>OCT2DEC("777")</f>
        <v>511</v>
      </c>
      <c r="G105" s="8"/>
      <c r="H105" s="8"/>
      <c r="I105" s="8"/>
      <c r="J105" s="8"/>
      <c r="K105" s="8"/>
      <c r="L105" s="8"/>
      <c r="M105" s="6" t="s">
        <v>129</v>
      </c>
      <c r="N105" s="8"/>
      <c r="O105" s="9" t="s">
        <v>130</v>
      </c>
      <c r="P105" s="8"/>
    </row>
    <row r="106" spans="1:16" ht="18" customHeight="1">
      <c r="A106" s="8" t="s">
        <v>434</v>
      </c>
      <c r="B106" s="8" t="s">
        <v>170</v>
      </c>
      <c r="C106" s="8" t="s">
        <v>435</v>
      </c>
      <c r="D106" s="8" t="s">
        <v>127</v>
      </c>
      <c r="E106" s="2" t="s">
        <v>436</v>
      </c>
      <c r="F106" s="3" t="str">
        <f>OCT2HEX("777",5)</f>
        <v>001FF</v>
      </c>
      <c r="G106" s="8"/>
      <c r="H106" s="8"/>
      <c r="I106" s="8"/>
      <c r="J106" s="8"/>
      <c r="K106" s="8"/>
      <c r="L106" s="8"/>
      <c r="M106" s="6" t="s">
        <v>129</v>
      </c>
      <c r="N106" s="8"/>
      <c r="O106" s="9" t="s">
        <v>130</v>
      </c>
      <c r="P106" s="8"/>
    </row>
    <row r="107" spans="1:16" ht="18" customHeight="1">
      <c r="A107" s="8" t="s">
        <v>437</v>
      </c>
      <c r="B107" s="8" t="s">
        <v>125</v>
      </c>
      <c r="C107" s="8" t="s">
        <v>438</v>
      </c>
      <c r="D107" s="8" t="s">
        <v>133</v>
      </c>
      <c r="E107" s="2" t="s">
        <v>439</v>
      </c>
      <c r="F107" s="3">
        <f>ODD(0.5)</f>
        <v>1</v>
      </c>
      <c r="G107" s="8"/>
      <c r="H107" s="8"/>
      <c r="I107" s="8"/>
      <c r="J107" s="8"/>
      <c r="K107" s="8"/>
      <c r="L107" s="8"/>
      <c r="M107" s="6" t="s">
        <v>129</v>
      </c>
      <c r="N107" s="8"/>
      <c r="O107" s="9" t="s">
        <v>130</v>
      </c>
      <c r="P107" s="8"/>
    </row>
    <row r="108" spans="1:16" ht="18" customHeight="1">
      <c r="A108" s="8" t="s">
        <v>440</v>
      </c>
      <c r="B108" s="8" t="s">
        <v>125</v>
      </c>
      <c r="C108" s="8" t="s">
        <v>441</v>
      </c>
      <c r="D108" s="8" t="s">
        <v>127</v>
      </c>
      <c r="E108" s="2" t="s">
        <v>442</v>
      </c>
      <c r="F108" s="3">
        <f>_xlfn.PERCENTOF(SharedData!$E$6:$E$25,100)</f>
        <v>21</v>
      </c>
      <c r="G108" s="8"/>
      <c r="H108" s="8"/>
      <c r="I108" s="8"/>
      <c r="J108" s="8"/>
      <c r="K108" s="8"/>
      <c r="L108" s="8"/>
      <c r="M108" s="6" t="s">
        <v>129</v>
      </c>
      <c r="N108" s="8"/>
      <c r="O108" s="9" t="s">
        <v>130</v>
      </c>
      <c r="P108" s="8"/>
    </row>
    <row r="109" spans="1:16" ht="18" customHeight="1">
      <c r="A109" s="8" t="s">
        <v>443</v>
      </c>
      <c r="B109" s="8" t="s">
        <v>125</v>
      </c>
      <c r="C109" s="8" t="s">
        <v>444</v>
      </c>
      <c r="D109" s="8" t="s">
        <v>137</v>
      </c>
      <c r="E109" s="2" t="s">
        <v>445</v>
      </c>
      <c r="F109" s="3">
        <f>PERMUT(10,3)</f>
        <v>720</v>
      </c>
      <c r="G109" s="8"/>
      <c r="H109" s="8"/>
      <c r="I109" s="8"/>
      <c r="J109" s="8"/>
      <c r="K109" s="8"/>
      <c r="L109" s="8"/>
      <c r="M109" s="6" t="s">
        <v>129</v>
      </c>
      <c r="N109" s="3" t="str">
        <f>IF(ISERROR(F109),"ERROR "&amp;IFERROR(ERROR.TYPE(F109),""),"OK")</f>
        <v>OK</v>
      </c>
      <c r="O109" s="9" t="s">
        <v>130</v>
      </c>
      <c r="P109" s="8"/>
    </row>
    <row r="110" spans="1:16" ht="18" customHeight="1">
      <c r="A110" s="8" t="s">
        <v>446</v>
      </c>
      <c r="B110" s="8" t="s">
        <v>125</v>
      </c>
      <c r="C110" s="8" t="s">
        <v>447</v>
      </c>
      <c r="D110" s="8" t="s">
        <v>137</v>
      </c>
      <c r="E110" s="2" t="s">
        <v>448</v>
      </c>
      <c r="F110" s="3">
        <f>_xlfn.PERMUTATIONA(10,3)</f>
        <v>1000</v>
      </c>
      <c r="G110" s="8"/>
      <c r="H110" s="8"/>
      <c r="I110" s="8"/>
      <c r="J110" s="8"/>
      <c r="K110" s="8"/>
      <c r="L110" s="8"/>
      <c r="M110" s="6" t="s">
        <v>129</v>
      </c>
      <c r="N110" s="8"/>
      <c r="O110" s="9" t="s">
        <v>130</v>
      </c>
      <c r="P110" s="8"/>
    </row>
    <row r="111" spans="1:16" ht="18" customHeight="1">
      <c r="A111" s="8" t="s">
        <v>449</v>
      </c>
      <c r="B111" s="8" t="s">
        <v>125</v>
      </c>
      <c r="C111" s="8" t="s">
        <v>450</v>
      </c>
      <c r="D111" s="8" t="s">
        <v>137</v>
      </c>
      <c r="E111" s="2" t="s">
        <v>451</v>
      </c>
      <c r="F111" s="3">
        <f>PI()</f>
        <v>3.1415926535897931</v>
      </c>
      <c r="G111" s="8"/>
      <c r="H111" s="8"/>
      <c r="I111" s="8"/>
      <c r="J111" s="8"/>
      <c r="K111" s="8"/>
      <c r="L111" s="8"/>
      <c r="M111" s="6" t="s">
        <v>129</v>
      </c>
      <c r="N111" s="8"/>
      <c r="O111" s="9" t="s">
        <v>130</v>
      </c>
      <c r="P111" s="8"/>
    </row>
    <row r="112" spans="1:16" ht="18" customHeight="1">
      <c r="A112" s="8" t="s">
        <v>452</v>
      </c>
      <c r="B112" s="8" t="s">
        <v>125</v>
      </c>
      <c r="C112" s="8" t="s">
        <v>453</v>
      </c>
      <c r="D112" s="8" t="s">
        <v>137</v>
      </c>
      <c r="E112" s="2" t="s">
        <v>454</v>
      </c>
      <c r="F112" s="3">
        <f>POWER(2,10)</f>
        <v>1024</v>
      </c>
      <c r="G112" s="8"/>
      <c r="H112" s="8"/>
      <c r="I112" s="8"/>
      <c r="J112" s="8"/>
      <c r="K112" s="8"/>
      <c r="L112" s="8"/>
      <c r="M112" s="6" t="s">
        <v>129</v>
      </c>
      <c r="N112" s="8"/>
      <c r="O112" s="9" t="s">
        <v>130</v>
      </c>
      <c r="P112" s="8"/>
    </row>
    <row r="113" spans="1:16" ht="18" customHeight="1">
      <c r="A113" s="8" t="s">
        <v>455</v>
      </c>
      <c r="B113" s="8" t="s">
        <v>125</v>
      </c>
      <c r="C113" s="8" t="s">
        <v>456</v>
      </c>
      <c r="D113" s="8" t="s">
        <v>133</v>
      </c>
      <c r="E113" s="2" t="s">
        <v>457</v>
      </c>
      <c r="F113" s="3">
        <f>PRODUCT(0.5)</f>
        <v>0.5</v>
      </c>
      <c r="G113" s="8"/>
      <c r="H113" s="8"/>
      <c r="I113" s="8"/>
      <c r="J113" s="8"/>
      <c r="K113" s="8"/>
      <c r="L113" s="8"/>
      <c r="M113" s="6" t="s">
        <v>129</v>
      </c>
      <c r="N113" s="8"/>
      <c r="O113" s="9" t="s">
        <v>130</v>
      </c>
      <c r="P113" s="3">
        <f>IFERROR(N(F113),0)+SUM(SharedData!$A$6:$A$8)+ROW()/100000</f>
        <v>0.50112999999999996</v>
      </c>
    </row>
    <row r="114" spans="1:16" ht="18" customHeight="1">
      <c r="A114" s="8" t="s">
        <v>458</v>
      </c>
      <c r="B114" s="8" t="s">
        <v>125</v>
      </c>
      <c r="C114" s="8" t="s">
        <v>459</v>
      </c>
      <c r="D114" s="8" t="s">
        <v>137</v>
      </c>
      <c r="E114" s="2" t="s">
        <v>460</v>
      </c>
      <c r="F114" s="3">
        <f>QUOTIENT(17,5)</f>
        <v>3</v>
      </c>
      <c r="G114" s="8"/>
      <c r="H114" s="8"/>
      <c r="I114" s="8"/>
      <c r="J114" s="8"/>
      <c r="K114" s="8"/>
      <c r="L114" s="8"/>
      <c r="M114" s="6" t="s">
        <v>129</v>
      </c>
      <c r="N114" s="8"/>
      <c r="O114" s="9" t="s">
        <v>130</v>
      </c>
      <c r="P114" s="8"/>
    </row>
    <row r="115" spans="1:16" ht="18" customHeight="1">
      <c r="A115" s="8" t="s">
        <v>461</v>
      </c>
      <c r="B115" s="8" t="s">
        <v>125</v>
      </c>
      <c r="C115" s="8" t="s">
        <v>462</v>
      </c>
      <c r="D115" s="8" t="s">
        <v>133</v>
      </c>
      <c r="E115" s="2" t="s">
        <v>463</v>
      </c>
      <c r="F115" s="3">
        <f>RADIANS(0.5)</f>
        <v>8.7266462599716477E-3</v>
      </c>
      <c r="G115" s="8"/>
      <c r="H115" s="8"/>
      <c r="I115" s="8"/>
      <c r="J115" s="8"/>
      <c r="K115" s="8"/>
      <c r="L115" s="8"/>
      <c r="M115" s="6" t="s">
        <v>129</v>
      </c>
      <c r="N115" s="8"/>
      <c r="O115" s="9" t="s">
        <v>130</v>
      </c>
      <c r="P115" s="8"/>
    </row>
    <row r="116" spans="1:16" ht="18" customHeight="1">
      <c r="A116" s="8" t="s">
        <v>464</v>
      </c>
      <c r="B116" s="8" t="s">
        <v>125</v>
      </c>
      <c r="C116" s="8" t="s">
        <v>465</v>
      </c>
      <c r="D116" s="8" t="s">
        <v>127</v>
      </c>
      <c r="E116" s="2" t="s">
        <v>466</v>
      </c>
      <c r="F116" s="3" t="str">
        <f>ROMAN(2026,0)</f>
        <v>MMXXVI</v>
      </c>
      <c r="G116" s="8"/>
      <c r="H116" s="8"/>
      <c r="I116" s="8"/>
      <c r="J116" s="8"/>
      <c r="K116" s="8"/>
      <c r="L116" s="8"/>
      <c r="M116" s="6" t="s">
        <v>129</v>
      </c>
      <c r="N116" s="8"/>
      <c r="O116" s="9" t="s">
        <v>130</v>
      </c>
      <c r="P116" s="8"/>
    </row>
    <row r="117" spans="1:16" ht="18" customHeight="1">
      <c r="A117" s="8" t="s">
        <v>467</v>
      </c>
      <c r="B117" s="8" t="s">
        <v>125</v>
      </c>
      <c r="C117" s="8" t="s">
        <v>468</v>
      </c>
      <c r="D117" s="8" t="s">
        <v>137</v>
      </c>
      <c r="E117" s="2" t="s">
        <v>469</v>
      </c>
      <c r="F117" s="3">
        <f>ROUND(SharedData!$A$19,3)</f>
        <v>1.5</v>
      </c>
      <c r="G117" s="8"/>
      <c r="H117" s="8"/>
      <c r="I117" s="8"/>
      <c r="J117" s="8"/>
      <c r="K117" s="8"/>
      <c r="L117" s="8"/>
      <c r="M117" s="6" t="s">
        <v>129</v>
      </c>
      <c r="N117" s="3" t="str">
        <f>IF(ISERROR(F117),"ERROR "&amp;IFERROR(ERROR.TYPE(F117),""),"OK")</f>
        <v>OK</v>
      </c>
      <c r="O117" s="9" t="s">
        <v>130</v>
      </c>
      <c r="P117" s="8"/>
    </row>
    <row r="118" spans="1:16" ht="18" customHeight="1">
      <c r="A118" s="8" t="s">
        <v>470</v>
      </c>
      <c r="B118" s="8" t="s">
        <v>125</v>
      </c>
      <c r="C118" s="8" t="s">
        <v>471</v>
      </c>
      <c r="D118" s="8" t="s">
        <v>137</v>
      </c>
      <c r="E118" s="2" t="s">
        <v>472</v>
      </c>
      <c r="F118" s="3">
        <f>ROUNDDOWN(SharedData!$A$19,3)</f>
        <v>1.5</v>
      </c>
      <c r="G118" s="8"/>
      <c r="H118" s="8"/>
      <c r="I118" s="8"/>
      <c r="J118" s="8"/>
      <c r="K118" s="8"/>
      <c r="L118" s="8"/>
      <c r="M118" s="6" t="s">
        <v>129</v>
      </c>
      <c r="N118" s="8"/>
      <c r="O118" s="9" t="s">
        <v>130</v>
      </c>
      <c r="P118" s="8"/>
    </row>
    <row r="119" spans="1:16" ht="18" customHeight="1">
      <c r="A119" s="8" t="s">
        <v>473</v>
      </c>
      <c r="B119" s="8" t="s">
        <v>125</v>
      </c>
      <c r="C119" s="8" t="s">
        <v>474</v>
      </c>
      <c r="D119" s="8" t="s">
        <v>137</v>
      </c>
      <c r="E119" s="2" t="s">
        <v>475</v>
      </c>
      <c r="F119" s="3">
        <f>ROUNDUP(SharedData!$A$19,3)</f>
        <v>1.5</v>
      </c>
      <c r="G119" s="8"/>
      <c r="H119" s="8"/>
      <c r="I119" s="8"/>
      <c r="J119" s="8"/>
      <c r="K119" s="8"/>
      <c r="L119" s="8"/>
      <c r="M119" s="6" t="s">
        <v>129</v>
      </c>
      <c r="N119" s="8"/>
      <c r="O119" s="9" t="s">
        <v>130</v>
      </c>
      <c r="P119" s="8"/>
    </row>
    <row r="120" spans="1:16" ht="18" customHeight="1">
      <c r="A120" s="8" t="s">
        <v>476</v>
      </c>
      <c r="B120" s="8" t="s">
        <v>125</v>
      </c>
      <c r="C120" s="8" t="s">
        <v>477</v>
      </c>
      <c r="D120" s="8" t="s">
        <v>133</v>
      </c>
      <c r="E120" s="2" t="s">
        <v>478</v>
      </c>
      <c r="F120" s="3">
        <f>_xlfn.SEC(0.5)</f>
        <v>1.139493927324549</v>
      </c>
      <c r="G120" s="8"/>
      <c r="H120" s="8"/>
      <c r="I120" s="8"/>
      <c r="J120" s="8"/>
      <c r="K120" s="8"/>
      <c r="L120" s="8"/>
      <c r="M120" s="6" t="s">
        <v>129</v>
      </c>
      <c r="N120" s="8"/>
      <c r="O120" s="9" t="s">
        <v>130</v>
      </c>
      <c r="P120" s="8"/>
    </row>
    <row r="121" spans="1:16" ht="18" customHeight="1">
      <c r="A121" s="8" t="s">
        <v>479</v>
      </c>
      <c r="B121" s="8" t="s">
        <v>125</v>
      </c>
      <c r="C121" s="8" t="s">
        <v>480</v>
      </c>
      <c r="D121" s="8" t="s">
        <v>133</v>
      </c>
      <c r="E121" s="2" t="s">
        <v>481</v>
      </c>
      <c r="F121" s="3">
        <f>_xlfn.SECH(0.5)</f>
        <v>0.88681888397007402</v>
      </c>
      <c r="G121" s="8"/>
      <c r="H121" s="8"/>
      <c r="I121" s="8"/>
      <c r="J121" s="8"/>
      <c r="K121" s="8"/>
      <c r="L121" s="8"/>
      <c r="M121" s="6" t="s">
        <v>129</v>
      </c>
      <c r="N121" s="8"/>
      <c r="O121" s="9" t="s">
        <v>130</v>
      </c>
      <c r="P121" s="8"/>
    </row>
    <row r="122" spans="1:16" ht="18" customHeight="1">
      <c r="A122" s="8" t="s">
        <v>482</v>
      </c>
      <c r="B122" s="8" t="s">
        <v>125</v>
      </c>
      <c r="C122" s="8" t="s">
        <v>483</v>
      </c>
      <c r="D122" s="8" t="s">
        <v>137</v>
      </c>
      <c r="E122" s="2" t="s">
        <v>484</v>
      </c>
      <c r="F122" s="3">
        <f>SERIESSUM(0.785398163397448,0,2,{1,-0.333333333333333,0.2,-0.142857142857143})</f>
        <v>0.83695349993032631</v>
      </c>
      <c r="G122" s="8"/>
      <c r="H122" s="8"/>
      <c r="I122" s="8"/>
      <c r="J122" s="8"/>
      <c r="K122" s="8"/>
      <c r="L122" s="8"/>
      <c r="M122" s="6" t="s">
        <v>129</v>
      </c>
      <c r="N122" s="8"/>
      <c r="O122" s="9" t="s">
        <v>130</v>
      </c>
      <c r="P122" s="8"/>
    </row>
    <row r="123" spans="1:16" ht="18" customHeight="1">
      <c r="A123" s="8" t="s">
        <v>485</v>
      </c>
      <c r="B123" s="8" t="s">
        <v>125</v>
      </c>
      <c r="C123" s="8" t="s">
        <v>486</v>
      </c>
      <c r="D123" s="8" t="s">
        <v>133</v>
      </c>
      <c r="E123" s="2" t="s">
        <v>487</v>
      </c>
      <c r="F123" s="3">
        <f>SIGN(0.5)</f>
        <v>1</v>
      </c>
      <c r="G123" s="8"/>
      <c r="H123" s="8"/>
      <c r="I123" s="8"/>
      <c r="J123" s="8"/>
      <c r="K123" s="8"/>
      <c r="L123" s="8"/>
      <c r="M123" s="6" t="s">
        <v>129</v>
      </c>
      <c r="N123" s="8"/>
      <c r="O123" s="9" t="s">
        <v>130</v>
      </c>
      <c r="P123" s="8"/>
    </row>
    <row r="124" spans="1:16" ht="18" customHeight="1">
      <c r="A124" s="8" t="s">
        <v>488</v>
      </c>
      <c r="B124" s="8" t="s">
        <v>125</v>
      </c>
      <c r="C124" s="8" t="s">
        <v>489</v>
      </c>
      <c r="D124" s="8" t="s">
        <v>133</v>
      </c>
      <c r="E124" s="2" t="s">
        <v>490</v>
      </c>
      <c r="F124" s="3">
        <f>SIN(0.5)</f>
        <v>0.47942553860420301</v>
      </c>
      <c r="G124" s="8"/>
      <c r="H124" s="8"/>
      <c r="I124" s="8"/>
      <c r="J124" s="8"/>
      <c r="K124" s="8"/>
      <c r="L124" s="8"/>
      <c r="M124" s="6" t="s">
        <v>129</v>
      </c>
      <c r="N124" s="8"/>
      <c r="O124" s="9" t="s">
        <v>130</v>
      </c>
      <c r="P124" s="8"/>
    </row>
    <row r="125" spans="1:16" ht="18" customHeight="1">
      <c r="A125" s="8" t="s">
        <v>491</v>
      </c>
      <c r="B125" s="8" t="s">
        <v>125</v>
      </c>
      <c r="C125" s="8" t="s">
        <v>492</v>
      </c>
      <c r="D125" s="8" t="s">
        <v>133</v>
      </c>
      <c r="E125" s="2" t="s">
        <v>493</v>
      </c>
      <c r="F125" s="3">
        <f>SINH(0.5)</f>
        <v>0.52109530549374738</v>
      </c>
      <c r="G125" s="8"/>
      <c r="H125" s="8"/>
      <c r="I125" s="8"/>
      <c r="J125" s="8"/>
      <c r="K125" s="8"/>
      <c r="L125" s="8"/>
      <c r="M125" s="6" t="s">
        <v>129</v>
      </c>
      <c r="N125" s="3" t="str">
        <f>IF(ISERROR(F125),"ERROR "&amp;IFERROR(ERROR.TYPE(F125),""),"OK")</f>
        <v>OK</v>
      </c>
      <c r="O125" s="9" t="s">
        <v>130</v>
      </c>
      <c r="P125" s="3">
        <f>IFERROR(N(F125),0)+SUM(SharedData!$A$6:$A$8)+ROW()/100000</f>
        <v>0.52234530549374736</v>
      </c>
    </row>
    <row r="126" spans="1:16" ht="18" customHeight="1">
      <c r="A126" s="8" t="s">
        <v>494</v>
      </c>
      <c r="B126" s="8" t="s">
        <v>125</v>
      </c>
      <c r="C126" s="8" t="s">
        <v>495</v>
      </c>
      <c r="D126" s="8" t="s">
        <v>133</v>
      </c>
      <c r="E126" s="2" t="s">
        <v>496</v>
      </c>
      <c r="F126" s="3">
        <f>SQRT(0.5)</f>
        <v>0.70710678118654757</v>
      </c>
      <c r="G126" s="8"/>
      <c r="H126" s="8"/>
      <c r="I126" s="8"/>
      <c r="J126" s="8"/>
      <c r="K126" s="8"/>
      <c r="L126" s="8"/>
      <c r="M126" s="6" t="s">
        <v>129</v>
      </c>
      <c r="N126" s="8"/>
      <c r="O126" s="9" t="s">
        <v>130</v>
      </c>
      <c r="P126" s="8"/>
    </row>
    <row r="127" spans="1:16" ht="18" customHeight="1">
      <c r="A127" s="8" t="s">
        <v>497</v>
      </c>
      <c r="B127" s="8" t="s">
        <v>125</v>
      </c>
      <c r="C127" s="8" t="s">
        <v>498</v>
      </c>
      <c r="D127" s="8" t="s">
        <v>133</v>
      </c>
      <c r="E127" s="2" t="s">
        <v>499</v>
      </c>
      <c r="F127" s="3">
        <f>SQRTPI(0.5)</f>
        <v>1.2533141373155001</v>
      </c>
      <c r="G127" s="8"/>
      <c r="H127" s="8"/>
      <c r="I127" s="8"/>
      <c r="J127" s="8"/>
      <c r="K127" s="8"/>
      <c r="L127" s="8"/>
      <c r="M127" s="6" t="s">
        <v>129</v>
      </c>
      <c r="N127" s="8"/>
      <c r="O127" s="9" t="s">
        <v>130</v>
      </c>
      <c r="P127" s="8"/>
    </row>
    <row r="128" spans="1:16" ht="18" customHeight="1">
      <c r="A128" s="8" t="s">
        <v>500</v>
      </c>
      <c r="B128" s="8" t="s">
        <v>125</v>
      </c>
      <c r="C128" s="8" t="s">
        <v>501</v>
      </c>
      <c r="D128" s="8" t="s">
        <v>127</v>
      </c>
      <c r="E128" s="2" t="s">
        <v>502</v>
      </c>
      <c r="F128" s="3">
        <f>SUBTOTAL(109,SharedData!$E$6:$E$25)</f>
        <v>2100</v>
      </c>
      <c r="G128" s="8"/>
      <c r="H128" s="8"/>
      <c r="I128" s="8"/>
      <c r="J128" s="8"/>
      <c r="K128" s="8"/>
      <c r="L128" s="8"/>
      <c r="M128" s="6" t="s">
        <v>129</v>
      </c>
      <c r="N128" s="8"/>
      <c r="O128" s="9" t="s">
        <v>130</v>
      </c>
      <c r="P128" s="8"/>
    </row>
    <row r="129" spans="1:16" ht="18" customHeight="1">
      <c r="A129" s="8" t="s">
        <v>503</v>
      </c>
      <c r="B129" s="8" t="s">
        <v>125</v>
      </c>
      <c r="C129" s="8" t="s">
        <v>504</v>
      </c>
      <c r="D129" s="8" t="s">
        <v>127</v>
      </c>
      <c r="E129" s="2" t="s">
        <v>505</v>
      </c>
      <c r="F129" s="3">
        <f>SUM(SharedData!$E$6:$E$25)</f>
        <v>2100</v>
      </c>
      <c r="G129" s="8"/>
      <c r="H129" s="8"/>
      <c r="I129" s="8"/>
      <c r="J129" s="8"/>
      <c r="K129" s="8"/>
      <c r="L129" s="8"/>
      <c r="M129" s="6" t="s">
        <v>129</v>
      </c>
      <c r="N129" s="8"/>
      <c r="O129" s="9" t="s">
        <v>130</v>
      </c>
      <c r="P129" s="8"/>
    </row>
    <row r="130" spans="1:16" ht="18" customHeight="1">
      <c r="A130" s="8" t="s">
        <v>506</v>
      </c>
      <c r="B130" s="8" t="s">
        <v>125</v>
      </c>
      <c r="C130" s="8" t="s">
        <v>507</v>
      </c>
      <c r="D130" s="8" t="s">
        <v>127</v>
      </c>
      <c r="E130" s="2" t="s">
        <v>508</v>
      </c>
      <c r="F130" s="3">
        <f>SUMIF(SharedData!$C$6:$C$25,"A",SharedData!$E$6:$E$25)</f>
        <v>700</v>
      </c>
      <c r="G130" s="8"/>
      <c r="H130" s="8"/>
      <c r="I130" s="8"/>
      <c r="J130" s="8"/>
      <c r="K130" s="8"/>
      <c r="L130" s="8"/>
      <c r="M130" s="6" t="s">
        <v>129</v>
      </c>
      <c r="N130" s="8"/>
      <c r="O130" s="9" t="s">
        <v>130</v>
      </c>
      <c r="P130" s="8"/>
    </row>
    <row r="131" spans="1:16" ht="18" customHeight="1">
      <c r="A131" s="8" t="s">
        <v>509</v>
      </c>
      <c r="B131" s="8" t="s">
        <v>125</v>
      </c>
      <c r="C131" s="8" t="s">
        <v>510</v>
      </c>
      <c r="D131" s="8" t="s">
        <v>127</v>
      </c>
      <c r="E131" s="2" t="s">
        <v>511</v>
      </c>
      <c r="F131" s="3">
        <f>SUMIFS(SharedData!$E$6:$E$25,SharedData!$C$6:$C$25,"A",SharedData!$F$6:$F$25,"&gt;5")</f>
        <v>200</v>
      </c>
      <c r="G131" s="8"/>
      <c r="H131" s="8"/>
      <c r="I131" s="8"/>
      <c r="J131" s="8"/>
      <c r="K131" s="8"/>
      <c r="L131" s="8"/>
      <c r="M131" s="6" t="s">
        <v>129</v>
      </c>
      <c r="N131" s="8"/>
      <c r="O131" s="9" t="s">
        <v>130</v>
      </c>
      <c r="P131" s="8"/>
    </row>
    <row r="132" spans="1:16" ht="18" customHeight="1">
      <c r="A132" s="8" t="s">
        <v>512</v>
      </c>
      <c r="B132" s="8" t="s">
        <v>125</v>
      </c>
      <c r="C132" s="8" t="s">
        <v>513</v>
      </c>
      <c r="D132" s="8" t="s">
        <v>127</v>
      </c>
      <c r="E132" s="2" t="s">
        <v>514</v>
      </c>
      <c r="F132" s="3">
        <f>SUMPRODUCT(SharedData!$E$6:$E$25,SharedData!$F$6:$F$25)</f>
        <v>8610</v>
      </c>
      <c r="G132" s="8"/>
      <c r="H132" s="8"/>
      <c r="I132" s="8"/>
      <c r="J132" s="8"/>
      <c r="K132" s="8"/>
      <c r="L132" s="8"/>
      <c r="M132" s="6" t="s">
        <v>129</v>
      </c>
      <c r="N132" s="8"/>
      <c r="O132" s="9" t="s">
        <v>130</v>
      </c>
      <c r="P132" s="8"/>
    </row>
    <row r="133" spans="1:16" ht="18" customHeight="1">
      <c r="A133" s="8" t="s">
        <v>515</v>
      </c>
      <c r="B133" s="8" t="s">
        <v>125</v>
      </c>
      <c r="C133" s="8" t="s">
        <v>516</v>
      </c>
      <c r="D133" s="8" t="s">
        <v>133</v>
      </c>
      <c r="E133" s="2" t="s">
        <v>517</v>
      </c>
      <c r="F133" s="3">
        <f>SUMSQ(0.5)</f>
        <v>0.25</v>
      </c>
      <c r="G133" s="8"/>
      <c r="H133" s="8"/>
      <c r="I133" s="8"/>
      <c r="J133" s="8"/>
      <c r="K133" s="8"/>
      <c r="L133" s="8"/>
      <c r="M133" s="6" t="s">
        <v>129</v>
      </c>
      <c r="N133" s="3" t="str">
        <f>IF(ISERROR(F133),"ERROR "&amp;IFERROR(ERROR.TYPE(F133),""),"OK")</f>
        <v>OK</v>
      </c>
      <c r="O133" s="9" t="s">
        <v>130</v>
      </c>
      <c r="P133" s="8"/>
    </row>
    <row r="134" spans="1:16" ht="18" customHeight="1">
      <c r="A134" s="8" t="s">
        <v>518</v>
      </c>
      <c r="B134" s="8" t="s">
        <v>125</v>
      </c>
      <c r="C134" s="8" t="s">
        <v>519</v>
      </c>
      <c r="D134" s="8" t="s">
        <v>137</v>
      </c>
      <c r="E134" s="2" t="s">
        <v>520</v>
      </c>
      <c r="F134" s="3">
        <f>SUMX2MY2(SharedData!$E$6:$E$15,SharedData!$F$6:$F$15)</f>
        <v>38346</v>
      </c>
      <c r="G134" s="8"/>
      <c r="H134" s="8"/>
      <c r="I134" s="8"/>
      <c r="J134" s="8"/>
      <c r="K134" s="8"/>
      <c r="L134" s="8"/>
      <c r="M134" s="6" t="s">
        <v>129</v>
      </c>
      <c r="N134" s="8"/>
      <c r="O134" s="9" t="s">
        <v>130</v>
      </c>
      <c r="P134" s="8"/>
    </row>
    <row r="135" spans="1:16" ht="18" customHeight="1">
      <c r="A135" s="8" t="s">
        <v>521</v>
      </c>
      <c r="B135" s="8" t="s">
        <v>125</v>
      </c>
      <c r="C135" s="8" t="s">
        <v>522</v>
      </c>
      <c r="D135" s="8" t="s">
        <v>137</v>
      </c>
      <c r="E135" s="2" t="s">
        <v>523</v>
      </c>
      <c r="F135" s="3">
        <f>SUMX2PY2(SharedData!$E$6:$E$15,SharedData!$F$6:$F$15)</f>
        <v>38654</v>
      </c>
      <c r="G135" s="8"/>
      <c r="H135" s="8"/>
      <c r="I135" s="8"/>
      <c r="J135" s="8"/>
      <c r="K135" s="8"/>
      <c r="L135" s="8"/>
      <c r="M135" s="6" t="s">
        <v>129</v>
      </c>
      <c r="N135" s="8"/>
      <c r="O135" s="9" t="s">
        <v>130</v>
      </c>
      <c r="P135" s="8"/>
    </row>
    <row r="136" spans="1:16" ht="18" customHeight="1">
      <c r="A136" s="8" t="s">
        <v>524</v>
      </c>
      <c r="B136" s="8" t="s">
        <v>125</v>
      </c>
      <c r="C136" s="8" t="s">
        <v>525</v>
      </c>
      <c r="D136" s="8" t="s">
        <v>137</v>
      </c>
      <c r="E136" s="2" t="s">
        <v>526</v>
      </c>
      <c r="F136" s="3">
        <f>SUMXMY2(SharedData!$E$6:$E$15,SharedData!$F$6:$F$15)</f>
        <v>34734</v>
      </c>
      <c r="G136" s="8"/>
      <c r="H136" s="8"/>
      <c r="I136" s="8"/>
      <c r="J136" s="8"/>
      <c r="K136" s="8"/>
      <c r="L136" s="8"/>
      <c r="M136" s="6" t="s">
        <v>129</v>
      </c>
      <c r="N136" s="8"/>
      <c r="O136" s="9" t="s">
        <v>130</v>
      </c>
      <c r="P136" s="8"/>
    </row>
    <row r="137" spans="1:16" ht="18" customHeight="1">
      <c r="A137" s="8" t="s">
        <v>527</v>
      </c>
      <c r="B137" s="8" t="s">
        <v>125</v>
      </c>
      <c r="C137" s="8" t="s">
        <v>528</v>
      </c>
      <c r="D137" s="8" t="s">
        <v>133</v>
      </c>
      <c r="E137" s="2" t="s">
        <v>529</v>
      </c>
      <c r="F137" s="3">
        <f>TAN(0.5)</f>
        <v>0.54630248984379048</v>
      </c>
      <c r="G137" s="8"/>
      <c r="H137" s="8"/>
      <c r="I137" s="8"/>
      <c r="J137" s="8"/>
      <c r="K137" s="8"/>
      <c r="L137" s="8"/>
      <c r="M137" s="6" t="s">
        <v>129</v>
      </c>
      <c r="N137" s="8"/>
      <c r="O137" s="9" t="s">
        <v>130</v>
      </c>
      <c r="P137" s="3">
        <f>IFERROR(N(F137),0)+SUM(SharedData!$A$6:$A$8)+ROW()/100000</f>
        <v>0.54767248984379047</v>
      </c>
    </row>
    <row r="138" spans="1:16" ht="18" customHeight="1">
      <c r="A138" s="8" t="s">
        <v>530</v>
      </c>
      <c r="B138" s="8" t="s">
        <v>125</v>
      </c>
      <c r="C138" s="8" t="s">
        <v>531</v>
      </c>
      <c r="D138" s="8" t="s">
        <v>133</v>
      </c>
      <c r="E138" s="2" t="s">
        <v>532</v>
      </c>
      <c r="F138" s="3">
        <f>TANH(0.5)</f>
        <v>0.46211715726000979</v>
      </c>
      <c r="G138" s="8"/>
      <c r="H138" s="8"/>
      <c r="I138" s="8"/>
      <c r="J138" s="8"/>
      <c r="K138" s="8"/>
      <c r="L138" s="8"/>
      <c r="M138" s="6" t="s">
        <v>129</v>
      </c>
      <c r="N138" s="8"/>
      <c r="O138" s="9" t="s">
        <v>130</v>
      </c>
      <c r="P138" s="8"/>
    </row>
    <row r="139" spans="1:16" ht="18" customHeight="1">
      <c r="A139" s="8" t="s">
        <v>533</v>
      </c>
      <c r="B139" s="8" t="s">
        <v>125</v>
      </c>
      <c r="C139" s="8" t="s">
        <v>534</v>
      </c>
      <c r="D139" s="8" t="s">
        <v>133</v>
      </c>
      <c r="E139" s="2" t="s">
        <v>535</v>
      </c>
      <c r="F139" s="3">
        <f>TRUNC(0.5)</f>
        <v>0</v>
      </c>
      <c r="G139" s="8"/>
      <c r="H139" s="8"/>
      <c r="I139" s="8"/>
      <c r="J139" s="8"/>
      <c r="K139" s="8"/>
      <c r="L139" s="8"/>
      <c r="M139" s="6" t="s">
        <v>129</v>
      </c>
      <c r="N139" s="8"/>
      <c r="O139" s="9" t="s">
        <v>130</v>
      </c>
      <c r="P139" s="8"/>
    </row>
    <row r="140" spans="1:16" ht="18" customHeight="1">
      <c r="A140" s="8" t="s">
        <v>536</v>
      </c>
      <c r="B140" s="8" t="s">
        <v>537</v>
      </c>
      <c r="C140" s="8" t="s">
        <v>538</v>
      </c>
      <c r="D140" s="8" t="s">
        <v>539</v>
      </c>
      <c r="E140" s="2" t="s">
        <v>540</v>
      </c>
      <c r="F140" s="3">
        <f>0.1+0.2-0.3</f>
        <v>0</v>
      </c>
      <c r="G140" s="8"/>
      <c r="H140" s="8"/>
      <c r="I140" s="8"/>
      <c r="J140" s="8"/>
      <c r="K140" s="8"/>
      <c r="L140" s="8"/>
      <c r="M140" s="6" t="s">
        <v>129</v>
      </c>
      <c r="N140" s="8"/>
      <c r="O140" s="9" t="s">
        <v>541</v>
      </c>
      <c r="P140" s="8"/>
    </row>
    <row r="141" spans="1:16" ht="18" customHeight="1">
      <c r="A141" s="8" t="s">
        <v>542</v>
      </c>
      <c r="B141" s="8" t="s">
        <v>537</v>
      </c>
      <c r="C141" s="8" t="s">
        <v>538</v>
      </c>
      <c r="D141" s="8" t="s">
        <v>539</v>
      </c>
      <c r="E141" s="2" t="s">
        <v>543</v>
      </c>
      <c r="F141" s="3">
        <f>(0.5-0.4)-0.1</f>
        <v>0</v>
      </c>
      <c r="G141" s="8"/>
      <c r="H141" s="8"/>
      <c r="I141" s="8"/>
      <c r="J141" s="8"/>
      <c r="K141" s="8"/>
      <c r="L141" s="8"/>
      <c r="M141" s="6" t="s">
        <v>129</v>
      </c>
      <c r="N141" s="3" t="str">
        <f>IF(ISERROR(F141),"ERROR "&amp;IFERROR(ERROR.TYPE(F141),""),"OK")</f>
        <v>OK</v>
      </c>
      <c r="O141" s="9" t="s">
        <v>541</v>
      </c>
      <c r="P141" s="8"/>
    </row>
    <row r="142" spans="1:16" ht="18" customHeight="1">
      <c r="A142" s="8" t="s">
        <v>544</v>
      </c>
      <c r="B142" s="8" t="s">
        <v>537</v>
      </c>
      <c r="C142" s="8" t="s">
        <v>538</v>
      </c>
      <c r="D142" s="8" t="s">
        <v>539</v>
      </c>
      <c r="E142" s="2" t="s">
        <v>545</v>
      </c>
      <c r="F142" s="3">
        <f>SUM(0.1,0.2,-0.3)</f>
        <v>0</v>
      </c>
      <c r="G142" s="8"/>
      <c r="H142" s="8"/>
      <c r="I142" s="8"/>
      <c r="J142" s="8"/>
      <c r="K142" s="8"/>
      <c r="L142" s="8"/>
      <c r="M142" s="6" t="s">
        <v>129</v>
      </c>
      <c r="N142" s="8"/>
      <c r="O142" s="9" t="s">
        <v>541</v>
      </c>
      <c r="P142" s="8"/>
    </row>
    <row r="143" spans="1:16" ht="18" customHeight="1">
      <c r="A143" s="8" t="s">
        <v>546</v>
      </c>
      <c r="B143" s="8" t="s">
        <v>537</v>
      </c>
      <c r="C143" s="8" t="s">
        <v>538</v>
      </c>
      <c r="D143" s="8" t="s">
        <v>539</v>
      </c>
      <c r="E143" s="2" t="s">
        <v>547</v>
      </c>
      <c r="F143" s="3" t="b">
        <f>0.1+0.2=0.3</f>
        <v>1</v>
      </c>
      <c r="G143" s="8"/>
      <c r="H143" s="8"/>
      <c r="I143" s="8"/>
      <c r="J143" s="8"/>
      <c r="K143" s="8"/>
      <c r="L143" s="8"/>
      <c r="M143" s="6" t="s">
        <v>129</v>
      </c>
      <c r="N143" s="8"/>
      <c r="O143" s="9" t="s">
        <v>541</v>
      </c>
      <c r="P143" s="8"/>
    </row>
    <row r="144" spans="1:16" ht="18" customHeight="1">
      <c r="A144" s="8" t="s">
        <v>548</v>
      </c>
      <c r="B144" s="8" t="s">
        <v>537</v>
      </c>
      <c r="C144" s="8" t="s">
        <v>538</v>
      </c>
      <c r="D144" s="8" t="s">
        <v>539</v>
      </c>
      <c r="E144" s="2" t="s">
        <v>549</v>
      </c>
      <c r="F144" s="3">
        <f>100.1-100-0.1</f>
        <v>-5.6898930012039273E-15</v>
      </c>
      <c r="G144" s="8"/>
      <c r="H144" s="8"/>
      <c r="I144" s="8"/>
      <c r="J144" s="8"/>
      <c r="K144" s="8"/>
      <c r="L144" s="8"/>
      <c r="M144" s="6" t="s">
        <v>129</v>
      </c>
      <c r="N144" s="8"/>
      <c r="O144" s="9" t="s">
        <v>541</v>
      </c>
      <c r="P144" s="8"/>
    </row>
    <row r="145" spans="1:16" ht="18" customHeight="1">
      <c r="A145" s="8" t="s">
        <v>550</v>
      </c>
      <c r="B145" s="8" t="s">
        <v>537</v>
      </c>
      <c r="C145" s="8" t="s">
        <v>538</v>
      </c>
      <c r="D145" s="8" t="s">
        <v>539</v>
      </c>
      <c r="E145" s="2" t="s">
        <v>551</v>
      </c>
      <c r="F145" s="3">
        <f>SUM(100.1,-0.1,-100)</f>
        <v>0</v>
      </c>
      <c r="G145" s="8"/>
      <c r="H145" s="8"/>
      <c r="I145" s="8"/>
      <c r="J145" s="8"/>
      <c r="K145" s="8"/>
      <c r="L145" s="8"/>
      <c r="M145" s="6" t="s">
        <v>129</v>
      </c>
      <c r="N145" s="8"/>
      <c r="O145" s="9" t="s">
        <v>541</v>
      </c>
      <c r="P145" s="8"/>
    </row>
    <row r="146" spans="1:16" ht="18" customHeight="1">
      <c r="A146" s="8" t="s">
        <v>552</v>
      </c>
      <c r="B146" s="8" t="s">
        <v>537</v>
      </c>
      <c r="C146" s="8" t="s">
        <v>538</v>
      </c>
      <c r="D146" s="8" t="s">
        <v>539</v>
      </c>
      <c r="E146" s="2" t="s">
        <v>553</v>
      </c>
      <c r="F146" s="3">
        <f>SUM(100.1,-100,-0.1)</f>
        <v>-5.6898930012039273E-15</v>
      </c>
      <c r="G146" s="8"/>
      <c r="H146" s="8"/>
      <c r="I146" s="8"/>
      <c r="J146" s="8"/>
      <c r="K146" s="8"/>
      <c r="L146" s="8"/>
      <c r="M146" s="6" t="s">
        <v>129</v>
      </c>
      <c r="N146" s="8"/>
      <c r="O146" s="9" t="s">
        <v>541</v>
      </c>
      <c r="P146" s="8"/>
    </row>
    <row r="147" spans="1:16" ht="18" customHeight="1">
      <c r="A147" s="8" t="s">
        <v>554</v>
      </c>
      <c r="B147" s="8" t="s">
        <v>537</v>
      </c>
      <c r="C147" s="8" t="s">
        <v>538</v>
      </c>
      <c r="D147" s="8" t="s">
        <v>539</v>
      </c>
      <c r="E147" s="2" t="s">
        <v>555</v>
      </c>
      <c r="F147" s="3">
        <f>SUM(-100,100.1,-0.1)</f>
        <v>-5.6898930012039273E-15</v>
      </c>
      <c r="G147" s="8"/>
      <c r="H147" s="8"/>
      <c r="I147" s="8"/>
      <c r="J147" s="8"/>
      <c r="K147" s="8"/>
      <c r="L147" s="8"/>
      <c r="M147" s="6" t="s">
        <v>129</v>
      </c>
      <c r="N147" s="8"/>
      <c r="O147" s="9" t="s">
        <v>541</v>
      </c>
      <c r="P147" s="8"/>
    </row>
    <row r="148" spans="1:16" ht="18" customHeight="1">
      <c r="A148" s="8" t="s">
        <v>556</v>
      </c>
      <c r="B148" s="8" t="s">
        <v>537</v>
      </c>
      <c r="C148" s="8" t="s">
        <v>538</v>
      </c>
      <c r="D148" s="8" t="s">
        <v>539</v>
      </c>
      <c r="E148" s="2" t="s">
        <v>557</v>
      </c>
      <c r="F148" s="3">
        <f>SUM(-0.3,0.2,0.1)</f>
        <v>0</v>
      </c>
      <c r="G148" s="8"/>
      <c r="H148" s="8"/>
      <c r="I148" s="8"/>
      <c r="J148" s="8"/>
      <c r="K148" s="8"/>
      <c r="L148" s="8"/>
      <c r="M148" s="6" t="s">
        <v>129</v>
      </c>
      <c r="N148" s="8"/>
      <c r="O148" s="9" t="s">
        <v>541</v>
      </c>
      <c r="P148" s="8"/>
    </row>
    <row r="149" spans="1:16" ht="18" customHeight="1">
      <c r="A149" s="8" t="s">
        <v>558</v>
      </c>
      <c r="B149" s="8" t="s">
        <v>537</v>
      </c>
      <c r="C149" s="8" t="s">
        <v>538</v>
      </c>
      <c r="D149" s="8" t="s">
        <v>539</v>
      </c>
      <c r="E149" s="2" t="s">
        <v>559</v>
      </c>
      <c r="F149" s="3">
        <f>SUM(0.2,-0.3,0.1)</f>
        <v>0</v>
      </c>
      <c r="G149" s="8"/>
      <c r="H149" s="8"/>
      <c r="I149" s="8"/>
      <c r="J149" s="8"/>
      <c r="K149" s="8"/>
      <c r="L149" s="8"/>
      <c r="M149" s="6" t="s">
        <v>129</v>
      </c>
      <c r="N149" s="3" t="str">
        <f>IF(ISERROR(F149),"ERROR "&amp;IFERROR(ERROR.TYPE(F149),""),"OK")</f>
        <v>OK</v>
      </c>
      <c r="O149" s="9" t="s">
        <v>541</v>
      </c>
      <c r="P149" s="3">
        <f>IFERROR(N(F149),0)+SUM(SharedData!$A$6:$A$8)+ROW()/100000</f>
        <v>1.49E-3</v>
      </c>
    </row>
    <row r="150" spans="1:16" ht="18" customHeight="1">
      <c r="A150" s="8" t="s">
        <v>560</v>
      </c>
      <c r="B150" s="8" t="s">
        <v>537</v>
      </c>
      <c r="C150" s="8" t="s">
        <v>538</v>
      </c>
      <c r="D150" s="8" t="s">
        <v>539</v>
      </c>
      <c r="E150" s="2" t="s">
        <v>561</v>
      </c>
      <c r="F150" s="3">
        <f>100.1-100-0.099999999999999</f>
        <v>-4.6906922790412864E-15</v>
      </c>
      <c r="G150" s="8"/>
      <c r="H150" s="8"/>
      <c r="I150" s="8"/>
      <c r="J150" s="8"/>
      <c r="K150" s="8"/>
      <c r="L150" s="8"/>
      <c r="M150" s="6" t="s">
        <v>129</v>
      </c>
      <c r="N150" s="8"/>
      <c r="O150" s="9" t="s">
        <v>541</v>
      </c>
      <c r="P150" s="8"/>
    </row>
    <row r="151" spans="1:16" ht="18" customHeight="1">
      <c r="A151" s="8" t="s">
        <v>562</v>
      </c>
      <c r="B151" s="8" t="s">
        <v>537</v>
      </c>
      <c r="C151" s="8" t="s">
        <v>538</v>
      </c>
      <c r="D151" s="8" t="s">
        <v>539</v>
      </c>
      <c r="E151" s="2" t="s">
        <v>563</v>
      </c>
      <c r="F151" s="3">
        <f>(1.1-1)-0.1</f>
        <v>0</v>
      </c>
      <c r="G151" s="8"/>
      <c r="H151" s="8"/>
      <c r="I151" s="8"/>
      <c r="J151" s="8"/>
      <c r="K151" s="8"/>
      <c r="L151" s="8"/>
      <c r="M151" s="6" t="s">
        <v>129</v>
      </c>
      <c r="N151" s="8"/>
      <c r="O151" s="9" t="s">
        <v>541</v>
      </c>
      <c r="P151" s="8"/>
    </row>
    <row r="152" spans="1:16" ht="18" customHeight="1">
      <c r="A152" s="8" t="s">
        <v>564</v>
      </c>
      <c r="B152" s="8" t="s">
        <v>537</v>
      </c>
      <c r="C152" s="8" t="s">
        <v>538</v>
      </c>
      <c r="D152" s="8" t="s">
        <v>539</v>
      </c>
      <c r="E152" s="2" t="s">
        <v>565</v>
      </c>
      <c r="F152" s="3">
        <f>1.1-1</f>
        <v>0.10000000000000009</v>
      </c>
      <c r="G152" s="8"/>
      <c r="H152" s="8"/>
      <c r="I152" s="8"/>
      <c r="J152" s="8"/>
      <c r="K152" s="8"/>
      <c r="L152" s="8"/>
      <c r="M152" s="6" t="s">
        <v>129</v>
      </c>
      <c r="N152" s="8"/>
      <c r="O152" s="9" t="s">
        <v>541</v>
      </c>
      <c r="P152" s="8"/>
    </row>
    <row r="153" spans="1:16" ht="18" customHeight="1">
      <c r="A153" s="8" t="s">
        <v>566</v>
      </c>
      <c r="B153" s="8" t="s">
        <v>537</v>
      </c>
      <c r="C153" s="8" t="s">
        <v>538</v>
      </c>
      <c r="D153" s="8" t="s">
        <v>539</v>
      </c>
      <c r="E153" s="2" t="s">
        <v>567</v>
      </c>
      <c r="F153" s="3">
        <f>1.1-1.1</f>
        <v>0</v>
      </c>
      <c r="G153" s="8"/>
      <c r="H153" s="8"/>
      <c r="I153" s="8"/>
      <c r="J153" s="8"/>
      <c r="K153" s="8"/>
      <c r="L153" s="8"/>
      <c r="M153" s="6" t="s">
        <v>129</v>
      </c>
      <c r="N153" s="8"/>
      <c r="O153" s="9" t="s">
        <v>541</v>
      </c>
      <c r="P153" s="8"/>
    </row>
    <row r="154" spans="1:16" ht="18" customHeight="1">
      <c r="A154" s="8" t="s">
        <v>568</v>
      </c>
      <c r="B154" s="8" t="s">
        <v>537</v>
      </c>
      <c r="C154" s="8" t="s">
        <v>538</v>
      </c>
      <c r="D154" s="8" t="s">
        <v>539</v>
      </c>
      <c r="E154" s="2" t="s">
        <v>569</v>
      </c>
      <c r="F154" s="3" t="b">
        <f>1.1-1=0.1</f>
        <v>1</v>
      </c>
      <c r="G154" s="8"/>
      <c r="H154" s="8"/>
      <c r="I154" s="8"/>
      <c r="J154" s="8"/>
      <c r="K154" s="8"/>
      <c r="L154" s="8"/>
      <c r="M154" s="6" t="s">
        <v>129</v>
      </c>
      <c r="N154" s="8"/>
      <c r="O154" s="9" t="s">
        <v>541</v>
      </c>
      <c r="P154" s="8"/>
    </row>
    <row r="155" spans="1:16" ht="18" customHeight="1">
      <c r="A155" s="8" t="s">
        <v>570</v>
      </c>
      <c r="B155" s="8" t="s">
        <v>537</v>
      </c>
      <c r="C155" s="8" t="s">
        <v>538</v>
      </c>
      <c r="D155" s="8" t="s">
        <v>539</v>
      </c>
      <c r="E155" s="2" t="s">
        <v>571</v>
      </c>
      <c r="F155" s="3">
        <f>0</f>
        <v>0</v>
      </c>
      <c r="G155" s="8"/>
      <c r="H155" s="8"/>
      <c r="I155" s="8"/>
      <c r="J155" s="8"/>
      <c r="K155" s="8"/>
      <c r="L155" s="8"/>
      <c r="M155" s="6" t="s">
        <v>129</v>
      </c>
      <c r="N155" s="8"/>
      <c r="O155" s="9" t="s">
        <v>541</v>
      </c>
      <c r="P155" s="8"/>
    </row>
    <row r="156" spans="1:16" ht="18" customHeight="1">
      <c r="A156" s="8" t="s">
        <v>572</v>
      </c>
      <c r="B156" s="8" t="s">
        <v>537</v>
      </c>
      <c r="C156" s="8" t="s">
        <v>538</v>
      </c>
      <c r="D156" s="8" t="s">
        <v>539</v>
      </c>
      <c r="E156" s="2" t="s">
        <v>573</v>
      </c>
      <c r="F156" s="3">
        <f>0*-1</f>
        <v>0</v>
      </c>
      <c r="G156" s="8"/>
      <c r="H156" s="8"/>
      <c r="I156" s="8"/>
      <c r="J156" s="8"/>
      <c r="K156" s="8"/>
      <c r="L156" s="8"/>
      <c r="M156" s="6" t="s">
        <v>129</v>
      </c>
      <c r="N156" s="8"/>
      <c r="O156" s="9" t="s">
        <v>541</v>
      </c>
      <c r="P156" s="8"/>
    </row>
    <row r="157" spans="1:16" ht="18" customHeight="1">
      <c r="A157" s="8" t="s">
        <v>574</v>
      </c>
      <c r="B157" s="8" t="s">
        <v>537</v>
      </c>
      <c r="C157" s="8" t="s">
        <v>538</v>
      </c>
      <c r="D157" s="8" t="s">
        <v>539</v>
      </c>
      <c r="E157" s="2" t="s">
        <v>575</v>
      </c>
      <c r="F157" s="3">
        <f>SIGN(0*-1)</f>
        <v>0</v>
      </c>
      <c r="G157" s="8"/>
      <c r="H157" s="8"/>
      <c r="I157" s="8"/>
      <c r="J157" s="8"/>
      <c r="K157" s="8"/>
      <c r="L157" s="8"/>
      <c r="M157" s="6" t="s">
        <v>129</v>
      </c>
      <c r="N157" s="3" t="str">
        <f>IF(ISERROR(F157),"ERROR "&amp;IFERROR(ERROR.TYPE(F157),""),"OK")</f>
        <v>OK</v>
      </c>
      <c r="O157" s="9" t="s">
        <v>541</v>
      </c>
      <c r="P157" s="8"/>
    </row>
    <row r="158" spans="1:16" ht="18" customHeight="1">
      <c r="A158" s="8" t="s">
        <v>576</v>
      </c>
      <c r="B158" s="8" t="s">
        <v>537</v>
      </c>
      <c r="C158" s="8" t="s">
        <v>538</v>
      </c>
      <c r="D158" s="8" t="s">
        <v>539</v>
      </c>
      <c r="E158" s="2" t="s">
        <v>577</v>
      </c>
      <c r="F158" s="3" t="str">
        <f>TEXT(0*-1,"0.00;-0.00;zero")</f>
        <v>z1900ro</v>
      </c>
      <c r="G158" s="8"/>
      <c r="H158" s="8"/>
      <c r="I158" s="8"/>
      <c r="J158" s="8"/>
      <c r="K158" s="8"/>
      <c r="L158" s="8"/>
      <c r="M158" s="6" t="s">
        <v>129</v>
      </c>
      <c r="N158" s="8"/>
      <c r="O158" s="9" t="s">
        <v>541</v>
      </c>
      <c r="P158" s="8"/>
    </row>
    <row r="159" spans="1:16" ht="18" customHeight="1">
      <c r="A159" s="8" t="s">
        <v>578</v>
      </c>
      <c r="B159" s="8" t="s">
        <v>537</v>
      </c>
      <c r="C159" s="8" t="s">
        <v>538</v>
      </c>
      <c r="D159" s="8" t="s">
        <v>539</v>
      </c>
      <c r="E159" s="2" t="s">
        <v>579</v>
      </c>
      <c r="F159" s="3" t="e">
        <f>1/(0*-1)</f>
        <v>#DIV/0!</v>
      </c>
      <c r="G159" s="8"/>
      <c r="H159" s="8"/>
      <c r="I159" s="8"/>
      <c r="J159" s="8"/>
      <c r="K159" s="8"/>
      <c r="L159" s="8"/>
      <c r="M159" s="6" t="s">
        <v>129</v>
      </c>
      <c r="N159" s="8"/>
      <c r="O159" s="9" t="s">
        <v>541</v>
      </c>
      <c r="P159" s="8"/>
    </row>
    <row r="160" spans="1:16" ht="18" customHeight="1">
      <c r="A160" s="8" t="s">
        <v>580</v>
      </c>
      <c r="B160" s="8" t="s">
        <v>537</v>
      </c>
      <c r="C160" s="8" t="s">
        <v>538</v>
      </c>
      <c r="D160" s="8" t="s">
        <v>539</v>
      </c>
      <c r="E160" s="2" t="s">
        <v>581</v>
      </c>
      <c r="F160" s="3" t="b">
        <f>(0*-1)=0</f>
        <v>1</v>
      </c>
      <c r="G160" s="8"/>
      <c r="H160" s="8"/>
      <c r="I160" s="8"/>
      <c r="J160" s="8"/>
      <c r="K160" s="8"/>
      <c r="L160" s="8"/>
      <c r="M160" s="6" t="s">
        <v>129</v>
      </c>
      <c r="N160" s="8"/>
      <c r="O160" s="9" t="s">
        <v>541</v>
      </c>
      <c r="P160" s="8"/>
    </row>
    <row r="161" spans="1:16" ht="18" customHeight="1">
      <c r="A161" s="8" t="s">
        <v>582</v>
      </c>
      <c r="B161" s="8" t="s">
        <v>537</v>
      </c>
      <c r="C161" s="8" t="s">
        <v>538</v>
      </c>
      <c r="D161" s="8" t="s">
        <v>539</v>
      </c>
      <c r="E161" s="2" t="s">
        <v>583</v>
      </c>
      <c r="F161" s="3">
        <f>MIN(0,0*-1)</f>
        <v>0</v>
      </c>
      <c r="G161" s="8"/>
      <c r="H161" s="8"/>
      <c r="I161" s="8"/>
      <c r="J161" s="8"/>
      <c r="K161" s="8"/>
      <c r="L161" s="8"/>
      <c r="M161" s="6" t="s">
        <v>129</v>
      </c>
      <c r="N161" s="8"/>
      <c r="O161" s="9" t="s">
        <v>541</v>
      </c>
      <c r="P161" s="3">
        <f>IFERROR(N(F161),0)+SUM(SharedData!$A$6:$A$8)+ROW()/100000</f>
        <v>1.6100000000000001E-3</v>
      </c>
    </row>
    <row r="162" spans="1:16" ht="18" customHeight="1">
      <c r="A162" s="8" t="s">
        <v>584</v>
      </c>
      <c r="B162" s="8" t="s">
        <v>537</v>
      </c>
      <c r="C162" s="8" t="s">
        <v>538</v>
      </c>
      <c r="D162" s="8" t="s">
        <v>539</v>
      </c>
      <c r="E162" s="2" t="s">
        <v>585</v>
      </c>
      <c r="F162" s="3">
        <f>-(0)</f>
        <v>0</v>
      </c>
      <c r="G162" s="8"/>
      <c r="H162" s="8"/>
      <c r="I162" s="8"/>
      <c r="J162" s="8"/>
      <c r="K162" s="8"/>
      <c r="L162" s="8"/>
      <c r="M162" s="6" t="s">
        <v>129</v>
      </c>
      <c r="N162" s="8"/>
      <c r="O162" s="9" t="s">
        <v>541</v>
      </c>
      <c r="P162" s="8"/>
    </row>
    <row r="163" spans="1:16" ht="18" customHeight="1">
      <c r="A163" s="8" t="s">
        <v>586</v>
      </c>
      <c r="B163" s="8" t="s">
        <v>537</v>
      </c>
      <c r="C163" s="8" t="s">
        <v>538</v>
      </c>
      <c r="D163" s="8" t="s">
        <v>539</v>
      </c>
      <c r="E163" s="2" t="s">
        <v>587</v>
      </c>
      <c r="F163" s="3">
        <f>ROUND(SIN(PI()*SharedData!$I$6/180)+COS(PI()*SharedData!$I$7/180),15)</f>
        <v>1.0168432334563799</v>
      </c>
      <c r="G163" s="8"/>
      <c r="H163" s="8"/>
      <c r="I163" s="8"/>
      <c r="J163" s="8"/>
      <c r="K163" s="8"/>
      <c r="L163" s="8"/>
      <c r="M163" s="6" t="s">
        <v>129</v>
      </c>
      <c r="N163" s="8"/>
      <c r="O163" s="9" t="s">
        <v>541</v>
      </c>
      <c r="P163" s="8"/>
    </row>
    <row r="164" spans="1:16" ht="18" customHeight="1">
      <c r="A164" s="8" t="s">
        <v>588</v>
      </c>
      <c r="B164" s="8" t="s">
        <v>537</v>
      </c>
      <c r="C164" s="8" t="s">
        <v>538</v>
      </c>
      <c r="D164" s="8" t="s">
        <v>539</v>
      </c>
      <c r="E164" s="2" t="s">
        <v>589</v>
      </c>
      <c r="F164" s="3">
        <f>SUMPRODUCT(SharedData!$A$6:$A$15,SharedData!$F$6:$F$15)-SUMPRODUCT(SharedData!$A$6:$A$15,SharedData!$F$6:$F$15)</f>
        <v>0</v>
      </c>
      <c r="G164" s="8"/>
      <c r="H164" s="8"/>
      <c r="I164" s="8"/>
      <c r="J164" s="8"/>
      <c r="K164" s="8"/>
      <c r="L164" s="8"/>
      <c r="M164" s="6" t="s">
        <v>129</v>
      </c>
      <c r="N164" s="8"/>
      <c r="O164" s="9" t="s">
        <v>541</v>
      </c>
      <c r="P164" s="8"/>
    </row>
    <row r="165" spans="1:16" ht="18" customHeight="1">
      <c r="A165" s="8" t="s">
        <v>590</v>
      </c>
      <c r="B165" s="8" t="s">
        <v>537</v>
      </c>
      <c r="C165" s="8" t="s">
        <v>538</v>
      </c>
      <c r="D165" s="8" t="s">
        <v>539</v>
      </c>
      <c r="E165" s="2" t="s">
        <v>591</v>
      </c>
      <c r="F165" s="3">
        <f>POWER(ABS(SharedData!$A$8),2)+SQRT(SharedData!$E$6)</f>
        <v>3.2522776601683794</v>
      </c>
      <c r="G165" s="8"/>
      <c r="H165" s="8"/>
      <c r="I165" s="8"/>
      <c r="J165" s="8"/>
      <c r="K165" s="8"/>
      <c r="L165" s="8"/>
      <c r="M165" s="6" t="s">
        <v>129</v>
      </c>
      <c r="N165" s="3" t="str">
        <f>IF(ISERROR(F165),"ERROR "&amp;IFERROR(ERROR.TYPE(F165),""),"OK")</f>
        <v>OK</v>
      </c>
      <c r="O165" s="9" t="s">
        <v>541</v>
      </c>
      <c r="P165" s="8"/>
    </row>
    <row r="166" spans="1:16" ht="18" customHeight="1">
      <c r="A166" s="8" t="s">
        <v>592</v>
      </c>
      <c r="B166" s="8" t="s">
        <v>537</v>
      </c>
      <c r="C166" s="8" t="s">
        <v>538</v>
      </c>
      <c r="D166" s="8" t="s">
        <v>539</v>
      </c>
      <c r="E166" s="2" t="s">
        <v>593</v>
      </c>
      <c r="F166" s="3">
        <f ca="1">SUM(SharedData!$E$6:INDEX(SharedData!$E:$E,15))</f>
        <v>550</v>
      </c>
      <c r="G166" s="8"/>
      <c r="H166" s="8"/>
      <c r="I166" s="8"/>
      <c r="J166" s="8"/>
      <c r="K166" s="8"/>
      <c r="L166" s="8"/>
      <c r="M166" s="6" t="s">
        <v>129</v>
      </c>
      <c r="N166" s="8"/>
      <c r="O166" s="9" t="s">
        <v>541</v>
      </c>
      <c r="P166" s="8"/>
    </row>
  </sheetData>
  <autoFilter ref="A4:P166" xr:uid="{00000000-0009-0000-0000-000002000000}"/>
  <mergeCells count="2">
    <mergeCell ref="A1:P1"/>
    <mergeCell ref="A2:P2"/>
  </mergeCells>
  <conditionalFormatting sqref="F5:F166">
    <cfRule type="containsErrors" dxfId="9" priority="1"/>
  </conditionalFormatting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8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594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COUNTA(A5:A178)</f>
        <v>174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COUNTA(A5:A178)</f>
        <v>174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COUNTA(A5:A178)-COUNTIF(M5:M178,"excluded")</f>
        <v>174</v>
      </c>
    </row>
    <row r="5" spans="1:19" ht="18" customHeight="1">
      <c r="A5" s="8" t="s">
        <v>595</v>
      </c>
      <c r="B5" s="8" t="s">
        <v>596</v>
      </c>
      <c r="C5" s="8" t="s">
        <v>597</v>
      </c>
      <c r="D5" s="8" t="s">
        <v>133</v>
      </c>
      <c r="E5" s="2" t="s">
        <v>598</v>
      </c>
      <c r="F5" s="3">
        <f>AVEDEV(SharedData!$E$6:$E$25)</f>
        <v>50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130</v>
      </c>
      <c r="P5" s="3">
        <f>IFERROR(N(F5),0)+IFERROR(N(Arithmetic!$F$5),0)+ROW()/100000</f>
        <v>50.300049999999999</v>
      </c>
      <c r="Q5" s="8"/>
      <c r="R5" s="8"/>
      <c r="S5" s="8"/>
    </row>
    <row r="6" spans="1:19" ht="18" customHeight="1">
      <c r="A6" s="8" t="s">
        <v>599</v>
      </c>
      <c r="B6" s="8" t="s">
        <v>596</v>
      </c>
      <c r="C6" s="8" t="s">
        <v>600</v>
      </c>
      <c r="D6" s="8" t="s">
        <v>133</v>
      </c>
      <c r="E6" s="2" t="s">
        <v>601</v>
      </c>
      <c r="F6" s="3">
        <f>AVERAGE(SharedData!$E$6:$E$25)</f>
        <v>105</v>
      </c>
      <c r="G6" s="8"/>
      <c r="H6" s="8"/>
      <c r="I6" s="8"/>
      <c r="J6" s="8"/>
      <c r="K6" s="8"/>
      <c r="L6" s="8"/>
      <c r="M6" s="6" t="s">
        <v>129</v>
      </c>
      <c r="N6" s="8"/>
      <c r="O6" s="9" t="s">
        <v>130</v>
      </c>
      <c r="P6" s="8"/>
      <c r="Q6" s="8"/>
      <c r="R6" s="8"/>
      <c r="S6" s="8"/>
    </row>
    <row r="7" spans="1:19" ht="18" customHeight="1">
      <c r="A7" s="8" t="s">
        <v>602</v>
      </c>
      <c r="B7" s="8" t="s">
        <v>596</v>
      </c>
      <c r="C7" s="8" t="s">
        <v>603</v>
      </c>
      <c r="D7" s="8" t="s">
        <v>133</v>
      </c>
      <c r="E7" s="2" t="s">
        <v>604</v>
      </c>
      <c r="F7" s="3">
        <f>AVERAGEA(SharedData!$E$6:$E$25)</f>
        <v>105</v>
      </c>
      <c r="G7" s="8"/>
      <c r="H7" s="8"/>
      <c r="I7" s="8"/>
      <c r="J7" s="8"/>
      <c r="K7" s="8"/>
      <c r="L7" s="8"/>
      <c r="M7" s="6" t="s">
        <v>129</v>
      </c>
      <c r="N7" s="8"/>
      <c r="O7" s="9" t="s">
        <v>130</v>
      </c>
      <c r="P7" s="8"/>
      <c r="Q7" s="8"/>
      <c r="R7" s="8"/>
      <c r="S7" s="8"/>
    </row>
    <row r="8" spans="1:19" ht="18" customHeight="1">
      <c r="A8" s="8" t="s">
        <v>605</v>
      </c>
      <c r="B8" s="8" t="s">
        <v>596</v>
      </c>
      <c r="C8" s="8" t="s">
        <v>606</v>
      </c>
      <c r="D8" s="8" t="s">
        <v>127</v>
      </c>
      <c r="E8" s="2" t="s">
        <v>607</v>
      </c>
      <c r="F8" s="3">
        <f>AVERAGEIF(SharedData!$C$6:$C$25,"A",SharedData!$E$6:$E$25)</f>
        <v>100</v>
      </c>
      <c r="G8" s="8"/>
      <c r="H8" s="8"/>
      <c r="I8" s="8"/>
      <c r="J8" s="8"/>
      <c r="K8" s="8"/>
      <c r="L8" s="8"/>
      <c r="M8" s="6" t="s">
        <v>129</v>
      </c>
      <c r="N8" s="8"/>
      <c r="O8" s="9" t="s">
        <v>130</v>
      </c>
      <c r="P8" s="8"/>
      <c r="Q8" s="8"/>
      <c r="R8" s="8"/>
      <c r="S8" s="8"/>
    </row>
    <row r="9" spans="1:19" ht="18" customHeight="1">
      <c r="A9" s="8" t="s">
        <v>608</v>
      </c>
      <c r="B9" s="8" t="s">
        <v>596</v>
      </c>
      <c r="C9" s="8" t="s">
        <v>609</v>
      </c>
      <c r="D9" s="8" t="s">
        <v>127</v>
      </c>
      <c r="E9" s="2" t="s">
        <v>610</v>
      </c>
      <c r="F9" s="3">
        <f>AVERAGEIFS(SharedData!$E$6:$E$25,SharedData!$C$6:$C$25,"A",SharedData!$F$6:$F$25,"&gt;5")</f>
        <v>100</v>
      </c>
      <c r="G9" s="8"/>
      <c r="H9" s="8"/>
      <c r="I9" s="8"/>
      <c r="J9" s="8"/>
      <c r="K9" s="8"/>
      <c r="L9" s="8"/>
      <c r="M9" s="6" t="s">
        <v>129</v>
      </c>
      <c r="N9" s="8"/>
      <c r="O9" s="9" t="s">
        <v>130</v>
      </c>
      <c r="P9" s="8"/>
      <c r="Q9" s="8"/>
      <c r="R9" s="8"/>
      <c r="S9" s="8"/>
    </row>
    <row r="10" spans="1:19" ht="18" customHeight="1">
      <c r="A10" s="8" t="s">
        <v>611</v>
      </c>
      <c r="B10" s="8" t="s">
        <v>596</v>
      </c>
      <c r="C10" s="8" t="s">
        <v>612</v>
      </c>
      <c r="D10" s="8" t="s">
        <v>137</v>
      </c>
      <c r="E10" s="2" t="s">
        <v>613</v>
      </c>
      <c r="F10" s="3">
        <f>_xlfn.BETA.DIST(0.6,8,10,TRUE,0,1)</f>
        <v>0.90810074582876155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130</v>
      </c>
      <c r="P10" s="8"/>
      <c r="Q10" s="8"/>
      <c r="R10" s="8"/>
      <c r="S10" s="8"/>
    </row>
    <row r="11" spans="1:19" ht="18" customHeight="1">
      <c r="A11" s="8" t="s">
        <v>614</v>
      </c>
      <c r="B11" s="8" t="s">
        <v>596</v>
      </c>
      <c r="C11" s="8" t="s">
        <v>615</v>
      </c>
      <c r="D11" s="8" t="s">
        <v>137</v>
      </c>
      <c r="E11" s="2" t="s">
        <v>616</v>
      </c>
      <c r="F11" s="3">
        <f>_xlfn.BETA.INV(0.6,8,10,0,1)</f>
        <v>0.4725265938468981</v>
      </c>
      <c r="G11" s="8"/>
      <c r="H11" s="8"/>
      <c r="I11" s="8"/>
      <c r="J11" s="8"/>
      <c r="K11" s="8"/>
      <c r="L11" s="8"/>
      <c r="M11" s="6" t="s">
        <v>129</v>
      </c>
      <c r="N11" s="8"/>
      <c r="O11" s="9" t="s">
        <v>130</v>
      </c>
      <c r="P11" s="8"/>
      <c r="Q11" s="8"/>
      <c r="R11" s="8"/>
      <c r="S11" s="8"/>
    </row>
    <row r="12" spans="1:19" ht="18" customHeight="1">
      <c r="A12" s="8" t="s">
        <v>617</v>
      </c>
      <c r="B12" s="8" t="s">
        <v>596</v>
      </c>
      <c r="C12" s="8" t="s">
        <v>618</v>
      </c>
      <c r="D12" s="8" t="s">
        <v>127</v>
      </c>
      <c r="E12" s="2" t="s">
        <v>619</v>
      </c>
      <c r="F12" s="3">
        <f>BETADIST(0.5,2,3,0,1)</f>
        <v>0.6875</v>
      </c>
      <c r="G12" s="8"/>
      <c r="H12" s="8"/>
      <c r="I12" s="8"/>
      <c r="J12" s="8"/>
      <c r="K12" s="8"/>
      <c r="L12" s="8"/>
      <c r="M12" s="6" t="s">
        <v>129</v>
      </c>
      <c r="N12" s="8"/>
      <c r="O12" s="9" t="s">
        <v>130</v>
      </c>
      <c r="P12" s="8"/>
      <c r="Q12" s="8"/>
      <c r="R12" s="8"/>
      <c r="S12" s="8"/>
    </row>
    <row r="13" spans="1:19" ht="18" customHeight="1">
      <c r="A13" s="8" t="s">
        <v>620</v>
      </c>
      <c r="B13" s="8" t="s">
        <v>596</v>
      </c>
      <c r="C13" s="8" t="s">
        <v>621</v>
      </c>
      <c r="D13" s="8" t="s">
        <v>127</v>
      </c>
      <c r="E13" s="2" t="s">
        <v>622</v>
      </c>
      <c r="F13" s="3">
        <f>BETAINV(0.5,2,3,0,1)</f>
        <v>0.38572756813238951</v>
      </c>
      <c r="G13" s="8"/>
      <c r="H13" s="8"/>
      <c r="I13" s="8"/>
      <c r="J13" s="8"/>
      <c r="K13" s="8"/>
      <c r="L13" s="8"/>
      <c r="M13" s="6" t="s">
        <v>129</v>
      </c>
      <c r="N13" s="3" t="str">
        <f>IF(ISERROR(F13),"ERROR "&amp;IFERROR(ERROR.TYPE(F13),""),"OK")</f>
        <v>OK</v>
      </c>
      <c r="O13" s="9" t="s">
        <v>130</v>
      </c>
      <c r="P13" s="8"/>
      <c r="Q13" s="8"/>
      <c r="R13" s="8"/>
      <c r="S13" s="8"/>
    </row>
    <row r="14" spans="1:19" ht="18" customHeight="1">
      <c r="A14" s="8" t="s">
        <v>623</v>
      </c>
      <c r="B14" s="8" t="s">
        <v>596</v>
      </c>
      <c r="C14" s="8" t="s">
        <v>624</v>
      </c>
      <c r="D14" s="8" t="s">
        <v>127</v>
      </c>
      <c r="E14" s="2" t="s">
        <v>625</v>
      </c>
      <c r="F14" s="3">
        <f>_xlfn.BINOM.DIST(3,10,0.4,FALSE)</f>
        <v>0.21499084800000007</v>
      </c>
      <c r="G14" s="8"/>
      <c r="H14" s="8"/>
      <c r="I14" s="8"/>
      <c r="J14" s="8"/>
      <c r="K14" s="8"/>
      <c r="L14" s="8"/>
      <c r="M14" s="6" t="s">
        <v>129</v>
      </c>
      <c r="N14" s="8"/>
      <c r="O14" s="9" t="s">
        <v>130</v>
      </c>
      <c r="P14" s="8"/>
      <c r="Q14" s="8"/>
      <c r="R14" s="8"/>
      <c r="S14" s="8"/>
    </row>
    <row r="15" spans="1:19" ht="18" customHeight="1">
      <c r="A15" s="8" t="s">
        <v>626</v>
      </c>
      <c r="B15" s="8" t="s">
        <v>596</v>
      </c>
      <c r="C15" s="8" t="s">
        <v>627</v>
      </c>
      <c r="D15" s="8" t="s">
        <v>127</v>
      </c>
      <c r="E15" s="2" t="s">
        <v>628</v>
      </c>
      <c r="F15" s="3">
        <f>_xlfn.BINOM.DIST.RANGE(10,0.4,3,6)</f>
        <v>0.77794836480000018</v>
      </c>
      <c r="G15" s="8"/>
      <c r="H15" s="8"/>
      <c r="I15" s="8"/>
      <c r="J15" s="8"/>
      <c r="K15" s="8"/>
      <c r="L15" s="8"/>
      <c r="M15" s="6" t="s">
        <v>129</v>
      </c>
      <c r="N15" s="8"/>
      <c r="O15" s="9" t="s">
        <v>130</v>
      </c>
      <c r="P15" s="8"/>
      <c r="Q15" s="8"/>
      <c r="R15" s="8"/>
      <c r="S15" s="8"/>
    </row>
    <row r="16" spans="1:19" ht="18" customHeight="1">
      <c r="A16" s="8" t="s">
        <v>629</v>
      </c>
      <c r="B16" s="8" t="s">
        <v>596</v>
      </c>
      <c r="C16" s="8" t="s">
        <v>630</v>
      </c>
      <c r="D16" s="8" t="s">
        <v>127</v>
      </c>
      <c r="E16" s="2" t="s">
        <v>631</v>
      </c>
      <c r="F16" s="3">
        <f>_xlfn.BINOM.INV(10,0.4,0.6)</f>
        <v>4</v>
      </c>
      <c r="G16" s="8"/>
      <c r="H16" s="8"/>
      <c r="I16" s="8"/>
      <c r="J16" s="8"/>
      <c r="K16" s="8"/>
      <c r="L16" s="8"/>
      <c r="M16" s="6" t="s">
        <v>129</v>
      </c>
      <c r="N16" s="8"/>
      <c r="O16" s="9" t="s">
        <v>130</v>
      </c>
      <c r="P16" s="8"/>
      <c r="Q16" s="8"/>
      <c r="R16" s="8"/>
      <c r="S16" s="8"/>
    </row>
    <row r="17" spans="1:16" ht="18" customHeight="1">
      <c r="A17" s="8" t="s">
        <v>632</v>
      </c>
      <c r="B17" s="8" t="s">
        <v>596</v>
      </c>
      <c r="C17" s="8" t="s">
        <v>633</v>
      </c>
      <c r="D17" s="8" t="s">
        <v>127</v>
      </c>
      <c r="E17" s="2" t="s">
        <v>634</v>
      </c>
      <c r="F17" s="3">
        <f>BINOMDIST(3,10,0.4,FALSE)</f>
        <v>0.21499084800000007</v>
      </c>
      <c r="G17" s="8"/>
      <c r="H17" s="8"/>
      <c r="I17" s="8"/>
      <c r="J17" s="8"/>
      <c r="K17" s="8"/>
      <c r="L17" s="8"/>
      <c r="M17" s="6" t="s">
        <v>129</v>
      </c>
      <c r="N17" s="8"/>
      <c r="O17" s="9" t="s">
        <v>130</v>
      </c>
      <c r="P17" s="3">
        <f>IFERROR(N(F17),0)+IFERROR(N(Arithmetic!$F$5),0)+ROW()/100000</f>
        <v>0.51516084800000006</v>
      </c>
    </row>
    <row r="18" spans="1:16" ht="18" customHeight="1">
      <c r="A18" s="8" t="s">
        <v>635</v>
      </c>
      <c r="B18" s="8" t="s">
        <v>596</v>
      </c>
      <c r="C18" s="8" t="s">
        <v>636</v>
      </c>
      <c r="D18" s="8" t="s">
        <v>127</v>
      </c>
      <c r="E18" s="2" t="s">
        <v>637</v>
      </c>
      <c r="F18" s="3">
        <f>CHIDIST(4,3)</f>
        <v>0.26146412994911056</v>
      </c>
      <c r="G18" s="8"/>
      <c r="H18" s="8"/>
      <c r="I18" s="8"/>
      <c r="J18" s="8"/>
      <c r="K18" s="8"/>
      <c r="L18" s="8"/>
      <c r="M18" s="6" t="s">
        <v>129</v>
      </c>
      <c r="N18" s="8"/>
      <c r="O18" s="9" t="s">
        <v>130</v>
      </c>
      <c r="P18" s="8"/>
    </row>
    <row r="19" spans="1:16" ht="18" customHeight="1">
      <c r="A19" s="8" t="s">
        <v>638</v>
      </c>
      <c r="B19" s="8" t="s">
        <v>596</v>
      </c>
      <c r="C19" s="8" t="s">
        <v>639</v>
      </c>
      <c r="D19" s="8" t="s">
        <v>127</v>
      </c>
      <c r="E19" s="2" t="s">
        <v>640</v>
      </c>
      <c r="F19" s="3">
        <f>CHIINV(0.05,3)</f>
        <v>7.8147279032511792</v>
      </c>
      <c r="G19" s="8"/>
      <c r="H19" s="8"/>
      <c r="I19" s="8"/>
      <c r="J19" s="8"/>
      <c r="K19" s="8"/>
      <c r="L19" s="8"/>
      <c r="M19" s="6" t="s">
        <v>129</v>
      </c>
      <c r="N19" s="8"/>
      <c r="O19" s="9" t="s">
        <v>130</v>
      </c>
      <c r="P19" s="8"/>
    </row>
    <row r="20" spans="1:16" ht="18" customHeight="1">
      <c r="A20" s="8" t="s">
        <v>641</v>
      </c>
      <c r="B20" s="8" t="s">
        <v>596</v>
      </c>
      <c r="C20" s="8" t="s">
        <v>642</v>
      </c>
      <c r="D20" s="8" t="s">
        <v>127</v>
      </c>
      <c r="E20" s="2" t="s">
        <v>643</v>
      </c>
      <c r="F20" s="3">
        <f>_xlfn.CHISQ.DIST(4,3,TRUE)</f>
        <v>0.7385358700508895</v>
      </c>
      <c r="G20" s="8"/>
      <c r="H20" s="8"/>
      <c r="I20" s="8"/>
      <c r="J20" s="8"/>
      <c r="K20" s="8"/>
      <c r="L20" s="8"/>
      <c r="M20" s="6" t="s">
        <v>129</v>
      </c>
      <c r="N20" s="8"/>
      <c r="O20" s="9" t="s">
        <v>130</v>
      </c>
      <c r="P20" s="8"/>
    </row>
    <row r="21" spans="1:16" ht="18" customHeight="1">
      <c r="A21" s="8" t="s">
        <v>644</v>
      </c>
      <c r="B21" s="8" t="s">
        <v>596</v>
      </c>
      <c r="C21" s="8" t="s">
        <v>645</v>
      </c>
      <c r="D21" s="8" t="s">
        <v>127</v>
      </c>
      <c r="E21" s="2" t="s">
        <v>646</v>
      </c>
      <c r="F21" s="3">
        <f>_xlfn.CHISQ.DIST.RT(4,3)</f>
        <v>0.26146412994911056</v>
      </c>
      <c r="G21" s="8"/>
      <c r="H21" s="8"/>
      <c r="I21" s="8"/>
      <c r="J21" s="8"/>
      <c r="K21" s="8"/>
      <c r="L21" s="8"/>
      <c r="M21" s="6" t="s">
        <v>129</v>
      </c>
      <c r="N21" s="3" t="str">
        <f>IF(ISERROR(F21),"ERROR "&amp;IFERROR(ERROR.TYPE(F21),""),"OK")</f>
        <v>OK</v>
      </c>
      <c r="O21" s="9" t="s">
        <v>130</v>
      </c>
      <c r="P21" s="8"/>
    </row>
    <row r="22" spans="1:16" ht="18" customHeight="1">
      <c r="A22" s="8" t="s">
        <v>647</v>
      </c>
      <c r="B22" s="8" t="s">
        <v>596</v>
      </c>
      <c r="C22" s="8" t="s">
        <v>648</v>
      </c>
      <c r="D22" s="8" t="s">
        <v>127</v>
      </c>
      <c r="E22" s="2" t="s">
        <v>649</v>
      </c>
      <c r="F22" s="3">
        <f>_xlfn.CHISQ.INV(0.95,3)</f>
        <v>7.8147279032511774</v>
      </c>
      <c r="G22" s="8"/>
      <c r="H22" s="8"/>
      <c r="I22" s="8"/>
      <c r="J22" s="8"/>
      <c r="K22" s="8"/>
      <c r="L22" s="8"/>
      <c r="M22" s="6" t="s">
        <v>129</v>
      </c>
      <c r="N22" s="8"/>
      <c r="O22" s="9" t="s">
        <v>130</v>
      </c>
      <c r="P22" s="8"/>
    </row>
    <row r="23" spans="1:16" ht="18" customHeight="1">
      <c r="A23" s="8" t="s">
        <v>650</v>
      </c>
      <c r="B23" s="8" t="s">
        <v>596</v>
      </c>
      <c r="C23" s="8" t="s">
        <v>651</v>
      </c>
      <c r="D23" s="8" t="s">
        <v>127</v>
      </c>
      <c r="E23" s="2" t="s">
        <v>652</v>
      </c>
      <c r="F23" s="3">
        <f>_xlfn.CHISQ.INV.RT(0.05,3)</f>
        <v>7.8147279032511792</v>
      </c>
      <c r="G23" s="8"/>
      <c r="H23" s="8"/>
      <c r="I23" s="8"/>
      <c r="J23" s="8"/>
      <c r="K23" s="8"/>
      <c r="L23" s="8"/>
      <c r="M23" s="6" t="s">
        <v>129</v>
      </c>
      <c r="N23" s="8"/>
      <c r="O23" s="9" t="s">
        <v>130</v>
      </c>
      <c r="P23" s="8"/>
    </row>
    <row r="24" spans="1:16" ht="18" customHeight="1">
      <c r="A24" s="8" t="s">
        <v>653</v>
      </c>
      <c r="B24" s="8" t="s">
        <v>596</v>
      </c>
      <c r="C24" s="8" t="s">
        <v>654</v>
      </c>
      <c r="D24" s="8" t="s">
        <v>127</v>
      </c>
      <c r="E24" s="2" t="s">
        <v>655</v>
      </c>
      <c r="F24" s="3">
        <f>_xlfn.CHISQ.TEST(SharedData!$E$6:$F$8,SharedData!$I$6:$J$8)</f>
        <v>1.3410806680592889E-108</v>
      </c>
      <c r="G24" s="8"/>
      <c r="H24" s="8"/>
      <c r="I24" s="8"/>
      <c r="J24" s="8"/>
      <c r="K24" s="8"/>
      <c r="L24" s="8"/>
      <c r="M24" s="6" t="s">
        <v>129</v>
      </c>
      <c r="N24" s="8"/>
      <c r="O24" s="9" t="s">
        <v>130</v>
      </c>
      <c r="P24" s="8"/>
    </row>
    <row r="25" spans="1:16" ht="18" customHeight="1">
      <c r="A25" s="8" t="s">
        <v>656</v>
      </c>
      <c r="B25" s="8" t="s">
        <v>596</v>
      </c>
      <c r="C25" s="8" t="s">
        <v>657</v>
      </c>
      <c r="D25" s="8" t="s">
        <v>127</v>
      </c>
      <c r="E25" s="2" t="s">
        <v>658</v>
      </c>
      <c r="F25" s="3">
        <f>CHITEST(SharedData!$E$6:$F$8,SharedData!$I$6:$J$8)</f>
        <v>1.3410806680592889E-108</v>
      </c>
      <c r="G25" s="8"/>
      <c r="H25" s="8"/>
      <c r="I25" s="8"/>
      <c r="J25" s="8"/>
      <c r="K25" s="8"/>
      <c r="L25" s="8"/>
      <c r="M25" s="6" t="s">
        <v>129</v>
      </c>
      <c r="N25" s="8"/>
      <c r="O25" s="9" t="s">
        <v>130</v>
      </c>
      <c r="P25" s="8"/>
    </row>
    <row r="26" spans="1:16" ht="18" customHeight="1">
      <c r="A26" s="8" t="s">
        <v>659</v>
      </c>
      <c r="B26" s="8" t="s">
        <v>596</v>
      </c>
      <c r="C26" s="8" t="s">
        <v>660</v>
      </c>
      <c r="D26" s="8" t="s">
        <v>127</v>
      </c>
      <c r="E26" s="2" t="s">
        <v>661</v>
      </c>
      <c r="F26" s="3">
        <f>CONFIDENCE(0.05,2.5,100)</f>
        <v>0.4899909961350134</v>
      </c>
      <c r="G26" s="8"/>
      <c r="H26" s="8"/>
      <c r="I26" s="8"/>
      <c r="J26" s="8"/>
      <c r="K26" s="8"/>
      <c r="L26" s="8"/>
      <c r="M26" s="6" t="s">
        <v>129</v>
      </c>
      <c r="N26" s="8"/>
      <c r="O26" s="9" t="s">
        <v>130</v>
      </c>
      <c r="P26" s="8"/>
    </row>
    <row r="27" spans="1:16" ht="18" customHeight="1">
      <c r="A27" s="8" t="s">
        <v>662</v>
      </c>
      <c r="B27" s="8" t="s">
        <v>596</v>
      </c>
      <c r="C27" s="8" t="s">
        <v>663</v>
      </c>
      <c r="D27" s="8" t="s">
        <v>127</v>
      </c>
      <c r="E27" s="2" t="s">
        <v>664</v>
      </c>
      <c r="F27" s="3">
        <f>_xlfn.CONFIDENCE.NORM(0.05,2.5,100)</f>
        <v>0.4899909961350134</v>
      </c>
      <c r="G27" s="8"/>
      <c r="H27" s="8"/>
      <c r="I27" s="8"/>
      <c r="J27" s="8"/>
      <c r="K27" s="8"/>
      <c r="L27" s="8"/>
      <c r="M27" s="6" t="s">
        <v>129</v>
      </c>
      <c r="N27" s="8"/>
      <c r="O27" s="9" t="s">
        <v>130</v>
      </c>
      <c r="P27" s="8"/>
    </row>
    <row r="28" spans="1:16" ht="18" customHeight="1">
      <c r="A28" s="8" t="s">
        <v>665</v>
      </c>
      <c r="B28" s="8" t="s">
        <v>596</v>
      </c>
      <c r="C28" s="8" t="s">
        <v>666</v>
      </c>
      <c r="D28" s="8" t="s">
        <v>127</v>
      </c>
      <c r="E28" s="2" t="s">
        <v>667</v>
      </c>
      <c r="F28" s="3">
        <f>_xlfn.CONFIDENCE.T(0.05,2.5,100)</f>
        <v>0.49605423789660413</v>
      </c>
      <c r="G28" s="8"/>
      <c r="H28" s="8"/>
      <c r="I28" s="8"/>
      <c r="J28" s="8"/>
      <c r="K28" s="8"/>
      <c r="L28" s="8"/>
      <c r="M28" s="6" t="s">
        <v>129</v>
      </c>
      <c r="N28" s="8"/>
      <c r="O28" s="9" t="s">
        <v>130</v>
      </c>
      <c r="P28" s="8"/>
    </row>
    <row r="29" spans="1:16" ht="18" customHeight="1">
      <c r="A29" s="8" t="s">
        <v>668</v>
      </c>
      <c r="B29" s="8" t="s">
        <v>596</v>
      </c>
      <c r="C29" s="8" t="s">
        <v>669</v>
      </c>
      <c r="D29" s="8" t="s">
        <v>127</v>
      </c>
      <c r="E29" s="2" t="s">
        <v>670</v>
      </c>
      <c r="F29" s="3">
        <f>CORREL(SharedData!$I$6:$I$25,SharedData!$J$6:$J$25)</f>
        <v>0.99999999999999978</v>
      </c>
      <c r="G29" s="8"/>
      <c r="H29" s="8"/>
      <c r="I29" s="8"/>
      <c r="J29" s="8"/>
      <c r="K29" s="8"/>
      <c r="L29" s="8"/>
      <c r="M29" s="6" t="s">
        <v>129</v>
      </c>
      <c r="N29" s="3" t="str">
        <f>IF(ISERROR(F29),"ERROR "&amp;IFERROR(ERROR.TYPE(F29),""),"OK")</f>
        <v>OK</v>
      </c>
      <c r="O29" s="9" t="s">
        <v>130</v>
      </c>
      <c r="P29" s="3">
        <f>IFERROR(N(F29),0)+IFERROR(N(Arithmetic!$F$17),0)+ROW()/100000</f>
        <v>1.0002899999999997</v>
      </c>
    </row>
    <row r="30" spans="1:16" ht="18" customHeight="1">
      <c r="A30" s="8" t="s">
        <v>671</v>
      </c>
      <c r="B30" s="8" t="s">
        <v>596</v>
      </c>
      <c r="C30" s="8" t="s">
        <v>672</v>
      </c>
      <c r="D30" s="8" t="s">
        <v>133</v>
      </c>
      <c r="E30" s="2" t="s">
        <v>673</v>
      </c>
      <c r="F30" s="3">
        <f>COUNT(SharedData!$E$6:$E$25)</f>
        <v>20</v>
      </c>
      <c r="G30" s="8"/>
      <c r="H30" s="8"/>
      <c r="I30" s="8"/>
      <c r="J30" s="8"/>
      <c r="K30" s="8"/>
      <c r="L30" s="8"/>
      <c r="M30" s="6" t="s">
        <v>129</v>
      </c>
      <c r="N30" s="8"/>
      <c r="O30" s="9" t="s">
        <v>130</v>
      </c>
      <c r="P30" s="8"/>
    </row>
    <row r="31" spans="1:16" ht="18" customHeight="1">
      <c r="A31" s="8" t="s">
        <v>674</v>
      </c>
      <c r="B31" s="8" t="s">
        <v>596</v>
      </c>
      <c r="C31" s="8" t="s">
        <v>675</v>
      </c>
      <c r="D31" s="8" t="s">
        <v>133</v>
      </c>
      <c r="E31" s="2" t="s">
        <v>676</v>
      </c>
      <c r="F31" s="3">
        <f>COUNTA(SharedData!$E$6:$E$25)</f>
        <v>20</v>
      </c>
      <c r="G31" s="8"/>
      <c r="H31" s="8"/>
      <c r="I31" s="8"/>
      <c r="J31" s="8"/>
      <c r="K31" s="8"/>
      <c r="L31" s="8"/>
      <c r="M31" s="6" t="s">
        <v>129</v>
      </c>
      <c r="N31" s="8"/>
      <c r="O31" s="9" t="s">
        <v>130</v>
      </c>
      <c r="P31" s="8"/>
    </row>
    <row r="32" spans="1:16" ht="18" customHeight="1">
      <c r="A32" s="8" t="s">
        <v>677</v>
      </c>
      <c r="B32" s="8" t="s">
        <v>596</v>
      </c>
      <c r="C32" s="8" t="s">
        <v>678</v>
      </c>
      <c r="D32" s="8" t="s">
        <v>133</v>
      </c>
      <c r="E32" s="2" t="s">
        <v>679</v>
      </c>
      <c r="F32" s="3">
        <f>COUNTBLANK(SharedData!$E$6:$E$25)</f>
        <v>0</v>
      </c>
      <c r="G32" s="8"/>
      <c r="H32" s="8"/>
      <c r="I32" s="8"/>
      <c r="J32" s="8"/>
      <c r="K32" s="8"/>
      <c r="L32" s="8"/>
      <c r="M32" s="6" t="s">
        <v>129</v>
      </c>
      <c r="N32" s="8"/>
      <c r="O32" s="9" t="s">
        <v>130</v>
      </c>
      <c r="P32" s="8"/>
    </row>
    <row r="33" spans="1:16" ht="18" customHeight="1">
      <c r="A33" s="8" t="s">
        <v>680</v>
      </c>
      <c r="B33" s="8" t="s">
        <v>596</v>
      </c>
      <c r="C33" s="8" t="s">
        <v>681</v>
      </c>
      <c r="D33" s="8" t="s">
        <v>127</v>
      </c>
      <c r="E33" s="2" t="s">
        <v>682</v>
      </c>
      <c r="F33" s="3">
        <f>COUNTIF(SharedData!$C$6:$C$25,"A")</f>
        <v>7</v>
      </c>
      <c r="G33" s="8"/>
      <c r="H33" s="8"/>
      <c r="I33" s="8"/>
      <c r="J33" s="8"/>
      <c r="K33" s="8"/>
      <c r="L33" s="8"/>
      <c r="M33" s="6" t="s">
        <v>129</v>
      </c>
      <c r="N33" s="8"/>
      <c r="O33" s="9" t="s">
        <v>130</v>
      </c>
      <c r="P33" s="8"/>
    </row>
    <row r="34" spans="1:16" ht="18" customHeight="1">
      <c r="A34" s="8" t="s">
        <v>683</v>
      </c>
      <c r="B34" s="8" t="s">
        <v>596</v>
      </c>
      <c r="C34" s="8" t="s">
        <v>684</v>
      </c>
      <c r="D34" s="8" t="s">
        <v>127</v>
      </c>
      <c r="E34" s="2" t="s">
        <v>685</v>
      </c>
      <c r="F34" s="3">
        <f>COUNTIFS(SharedData!$C$6:$C$25,"A",SharedData!$E$6:$E$25,"&gt;50")</f>
        <v>5</v>
      </c>
      <c r="G34" s="8"/>
      <c r="H34" s="8"/>
      <c r="I34" s="8"/>
      <c r="J34" s="8"/>
      <c r="K34" s="8"/>
      <c r="L34" s="8"/>
      <c r="M34" s="6" t="s">
        <v>129</v>
      </c>
      <c r="N34" s="8"/>
      <c r="O34" s="9" t="s">
        <v>130</v>
      </c>
      <c r="P34" s="8"/>
    </row>
    <row r="35" spans="1:16" ht="18" customHeight="1">
      <c r="A35" s="8" t="s">
        <v>686</v>
      </c>
      <c r="B35" s="8" t="s">
        <v>596</v>
      </c>
      <c r="C35" s="8" t="s">
        <v>687</v>
      </c>
      <c r="D35" s="8" t="s">
        <v>127</v>
      </c>
      <c r="E35" s="2" t="s">
        <v>688</v>
      </c>
      <c r="F35" s="3">
        <f>COVAR(SharedData!$I$6:$I$25,SharedData!$J$6:$J$25)</f>
        <v>66.5</v>
      </c>
      <c r="G35" s="8"/>
      <c r="H35" s="8"/>
      <c r="I35" s="8"/>
      <c r="J35" s="8"/>
      <c r="K35" s="8"/>
      <c r="L35" s="8"/>
      <c r="M35" s="6" t="s">
        <v>129</v>
      </c>
      <c r="N35" s="8"/>
      <c r="O35" s="9" t="s">
        <v>130</v>
      </c>
      <c r="P35" s="8"/>
    </row>
    <row r="36" spans="1:16" ht="18" customHeight="1">
      <c r="A36" s="8" t="s">
        <v>689</v>
      </c>
      <c r="B36" s="8" t="s">
        <v>596</v>
      </c>
      <c r="C36" s="8" t="s">
        <v>690</v>
      </c>
      <c r="D36" s="8" t="s">
        <v>127</v>
      </c>
      <c r="E36" s="2" t="s">
        <v>691</v>
      </c>
      <c r="F36" s="3">
        <f>_xlfn.COVARIANCE.P(SharedData!$I$6:$I$25,SharedData!$J$6:$J$25)</f>
        <v>66.5</v>
      </c>
      <c r="G36" s="8"/>
      <c r="H36" s="8"/>
      <c r="I36" s="8"/>
      <c r="J36" s="8"/>
      <c r="K36" s="8"/>
      <c r="L36" s="8"/>
      <c r="M36" s="6" t="s">
        <v>129</v>
      </c>
      <c r="N36" s="8"/>
      <c r="O36" s="9" t="s">
        <v>130</v>
      </c>
      <c r="P36" s="8"/>
    </row>
    <row r="37" spans="1:16" ht="18" customHeight="1">
      <c r="A37" s="8" t="s">
        <v>692</v>
      </c>
      <c r="B37" s="8" t="s">
        <v>596</v>
      </c>
      <c r="C37" s="8" t="s">
        <v>693</v>
      </c>
      <c r="D37" s="8" t="s">
        <v>127</v>
      </c>
      <c r="E37" s="2" t="s">
        <v>694</v>
      </c>
      <c r="F37" s="3">
        <f>_xlfn.COVARIANCE.S(SharedData!$I$6:$I$25,SharedData!$J$6:$J$25)</f>
        <v>70</v>
      </c>
      <c r="G37" s="8"/>
      <c r="H37" s="8"/>
      <c r="I37" s="8"/>
      <c r="J37" s="8"/>
      <c r="K37" s="8"/>
      <c r="L37" s="8"/>
      <c r="M37" s="6" t="s">
        <v>129</v>
      </c>
      <c r="N37" s="3" t="str">
        <f>IF(ISERROR(F37),"ERROR "&amp;IFERROR(ERROR.TYPE(F37),""),"OK")</f>
        <v>OK</v>
      </c>
      <c r="O37" s="9" t="s">
        <v>130</v>
      </c>
      <c r="P37" s="8"/>
    </row>
    <row r="38" spans="1:16" ht="18" customHeight="1">
      <c r="A38" s="8" t="s">
        <v>695</v>
      </c>
      <c r="B38" s="8" t="s">
        <v>596</v>
      </c>
      <c r="C38" s="8" t="s">
        <v>696</v>
      </c>
      <c r="D38" s="8" t="s">
        <v>127</v>
      </c>
      <c r="E38" s="2" t="s">
        <v>697</v>
      </c>
      <c r="F38" s="3">
        <f>CRITBINOM(10,0.4,0.6)</f>
        <v>4</v>
      </c>
      <c r="G38" s="8"/>
      <c r="H38" s="8"/>
      <c r="I38" s="8"/>
      <c r="J38" s="8"/>
      <c r="K38" s="8"/>
      <c r="L38" s="8"/>
      <c r="M38" s="6" t="s">
        <v>129</v>
      </c>
      <c r="N38" s="8"/>
      <c r="O38" s="9" t="s">
        <v>130</v>
      </c>
      <c r="P38" s="8"/>
    </row>
    <row r="39" spans="1:16" ht="18" customHeight="1">
      <c r="A39" s="8" t="s">
        <v>698</v>
      </c>
      <c r="B39" s="8" t="s">
        <v>699</v>
      </c>
      <c r="C39" s="8" t="s">
        <v>700</v>
      </c>
      <c r="D39" s="8" t="s">
        <v>133</v>
      </c>
      <c r="E39" s="2" t="s">
        <v>701</v>
      </c>
      <c r="F39" s="3">
        <f>DAVERAGE(SharedData!$A$30:$F$50,"Amount",SharedData!$H$30:$I$32)</f>
        <v>101.11111111111111</v>
      </c>
      <c r="G39" s="8"/>
      <c r="H39" s="8"/>
      <c r="I39" s="8"/>
      <c r="J39" s="8"/>
      <c r="K39" s="8"/>
      <c r="L39" s="8"/>
      <c r="M39" s="6" t="s">
        <v>129</v>
      </c>
      <c r="N39" s="8"/>
      <c r="O39" s="9" t="s">
        <v>130</v>
      </c>
      <c r="P39" s="8"/>
    </row>
    <row r="40" spans="1:16" ht="18" customHeight="1">
      <c r="A40" s="8" t="s">
        <v>702</v>
      </c>
      <c r="B40" s="8" t="s">
        <v>699</v>
      </c>
      <c r="C40" s="8" t="s">
        <v>703</v>
      </c>
      <c r="D40" s="8" t="s">
        <v>133</v>
      </c>
      <c r="E40" s="2" t="s">
        <v>704</v>
      </c>
      <c r="F40" s="3">
        <f>DCOUNT(SharedData!$A$30:$F$50,"Amount",SharedData!$H$30:$I$32)</f>
        <v>9</v>
      </c>
      <c r="G40" s="8"/>
      <c r="H40" s="8"/>
      <c r="I40" s="8"/>
      <c r="J40" s="8"/>
      <c r="K40" s="8"/>
      <c r="L40" s="8"/>
      <c r="M40" s="6" t="s">
        <v>129</v>
      </c>
      <c r="N40" s="8"/>
      <c r="O40" s="9" t="s">
        <v>130</v>
      </c>
      <c r="P40" s="8"/>
    </row>
    <row r="41" spans="1:16" ht="18" customHeight="1">
      <c r="A41" s="8" t="s">
        <v>705</v>
      </c>
      <c r="B41" s="8" t="s">
        <v>699</v>
      </c>
      <c r="C41" s="8" t="s">
        <v>706</v>
      </c>
      <c r="D41" s="8" t="s">
        <v>133</v>
      </c>
      <c r="E41" s="2" t="s">
        <v>707</v>
      </c>
      <c r="F41" s="3">
        <f>DCOUNTA(SharedData!$A$30:$F$50,"Amount",SharedData!$H$30:$I$32)</f>
        <v>9</v>
      </c>
      <c r="G41" s="8"/>
      <c r="H41" s="8"/>
      <c r="I41" s="8"/>
      <c r="J41" s="8"/>
      <c r="K41" s="8"/>
      <c r="L41" s="8"/>
      <c r="M41" s="6" t="s">
        <v>129</v>
      </c>
      <c r="N41" s="8"/>
      <c r="O41" s="9" t="s">
        <v>130</v>
      </c>
      <c r="P41" s="3">
        <f>IFERROR(N(F41),0)+IFERROR(N(Arithmetic!$F$29),0)+ROW()/100000</f>
        <v>19.000409999999999</v>
      </c>
    </row>
    <row r="42" spans="1:16" ht="18" customHeight="1">
      <c r="A42" s="8" t="s">
        <v>708</v>
      </c>
      <c r="B42" s="8" t="s">
        <v>596</v>
      </c>
      <c r="C42" s="8" t="s">
        <v>709</v>
      </c>
      <c r="D42" s="8" t="s">
        <v>133</v>
      </c>
      <c r="E42" s="2" t="s">
        <v>710</v>
      </c>
      <c r="F42" s="3">
        <f>DEVSQ(SharedData!$E$6:$E$25)</f>
        <v>66500</v>
      </c>
      <c r="G42" s="8"/>
      <c r="H42" s="8"/>
      <c r="I42" s="8"/>
      <c r="J42" s="8"/>
      <c r="K42" s="8"/>
      <c r="L42" s="8"/>
      <c r="M42" s="6" t="s">
        <v>129</v>
      </c>
      <c r="N42" s="8"/>
      <c r="O42" s="9" t="s">
        <v>130</v>
      </c>
      <c r="P42" s="8"/>
    </row>
    <row r="43" spans="1:16" ht="18" customHeight="1">
      <c r="A43" s="8" t="s">
        <v>711</v>
      </c>
      <c r="B43" s="8" t="s">
        <v>699</v>
      </c>
      <c r="C43" s="8" t="s">
        <v>712</v>
      </c>
      <c r="D43" s="8" t="s">
        <v>133</v>
      </c>
      <c r="E43" s="2" t="s">
        <v>713</v>
      </c>
      <c r="F43" s="3" t="e">
        <f>DGET(SharedData!$A$30:$F$50,"Amount",SharedData!$H$30:$I$32)</f>
        <v>#NUM!</v>
      </c>
      <c r="G43" s="8"/>
      <c r="H43" s="8"/>
      <c r="I43" s="8"/>
      <c r="J43" s="8"/>
      <c r="K43" s="8"/>
      <c r="L43" s="8"/>
      <c r="M43" s="6" t="s">
        <v>129</v>
      </c>
      <c r="N43" s="8"/>
      <c r="O43" s="9" t="s">
        <v>130</v>
      </c>
      <c r="P43" s="8"/>
    </row>
    <row r="44" spans="1:16" ht="18" customHeight="1">
      <c r="A44" s="8" t="s">
        <v>714</v>
      </c>
      <c r="B44" s="8" t="s">
        <v>699</v>
      </c>
      <c r="C44" s="8" t="s">
        <v>715</v>
      </c>
      <c r="D44" s="8" t="s">
        <v>133</v>
      </c>
      <c r="E44" s="2" t="s">
        <v>716</v>
      </c>
      <c r="F44" s="3">
        <f>DMAX(SharedData!$A$30:$F$50,"Amount",SharedData!$H$30:$I$32)</f>
        <v>190</v>
      </c>
      <c r="G44" s="8"/>
      <c r="H44" s="8"/>
      <c r="I44" s="8"/>
      <c r="J44" s="8"/>
      <c r="K44" s="8"/>
      <c r="L44" s="8"/>
      <c r="M44" s="6" t="s">
        <v>129</v>
      </c>
      <c r="N44" s="8"/>
      <c r="O44" s="9" t="s">
        <v>130</v>
      </c>
      <c r="P44" s="8"/>
    </row>
    <row r="45" spans="1:16" ht="18" customHeight="1">
      <c r="A45" s="8" t="s">
        <v>717</v>
      </c>
      <c r="B45" s="8" t="s">
        <v>699</v>
      </c>
      <c r="C45" s="8" t="s">
        <v>718</v>
      </c>
      <c r="D45" s="8" t="s">
        <v>133</v>
      </c>
      <c r="E45" s="2" t="s">
        <v>719</v>
      </c>
      <c r="F45" s="3">
        <f>DMIN(SharedData!$A$30:$F$50,"Amount",SharedData!$H$30:$I$32)</f>
        <v>20</v>
      </c>
      <c r="G45" s="8"/>
      <c r="H45" s="8"/>
      <c r="I45" s="8"/>
      <c r="J45" s="8"/>
      <c r="K45" s="8"/>
      <c r="L45" s="8"/>
      <c r="M45" s="6" t="s">
        <v>129</v>
      </c>
      <c r="N45" s="3" t="str">
        <f>IF(ISERROR(F45),"ERROR "&amp;IFERROR(ERROR.TYPE(F45),""),"OK")</f>
        <v>OK</v>
      </c>
      <c r="O45" s="9" t="s">
        <v>130</v>
      </c>
      <c r="P45" s="8"/>
    </row>
    <row r="46" spans="1:16" ht="18" customHeight="1">
      <c r="A46" s="8" t="s">
        <v>720</v>
      </c>
      <c r="B46" s="8" t="s">
        <v>699</v>
      </c>
      <c r="C46" s="8" t="s">
        <v>721</v>
      </c>
      <c r="D46" s="8" t="s">
        <v>133</v>
      </c>
      <c r="E46" s="2" t="s">
        <v>722</v>
      </c>
      <c r="F46" s="3">
        <f>DPRODUCT(SharedData!$A$30:$F$50,"Amount",SharedData!$H$30:$I$32)</f>
        <v>2.434432E+17</v>
      </c>
      <c r="G46" s="8"/>
      <c r="H46" s="8"/>
      <c r="I46" s="8"/>
      <c r="J46" s="8"/>
      <c r="K46" s="8"/>
      <c r="L46" s="8"/>
      <c r="M46" s="6" t="s">
        <v>129</v>
      </c>
      <c r="N46" s="8"/>
      <c r="O46" s="9" t="s">
        <v>130</v>
      </c>
      <c r="P46" s="8"/>
    </row>
    <row r="47" spans="1:16" ht="18" customHeight="1">
      <c r="A47" s="8" t="s">
        <v>723</v>
      </c>
      <c r="B47" s="8" t="s">
        <v>699</v>
      </c>
      <c r="C47" s="8" t="s">
        <v>724</v>
      </c>
      <c r="D47" s="8" t="s">
        <v>133</v>
      </c>
      <c r="E47" s="2" t="s">
        <v>725</v>
      </c>
      <c r="F47" s="3">
        <f>DSTDEV(SharedData!$A$30:$F$50,"Amount",SharedData!$H$30:$I$32)</f>
        <v>53.489355119604042</v>
      </c>
      <c r="G47" s="8"/>
      <c r="H47" s="8"/>
      <c r="I47" s="8"/>
      <c r="J47" s="8"/>
      <c r="K47" s="8"/>
      <c r="L47" s="8"/>
      <c r="M47" s="6" t="s">
        <v>129</v>
      </c>
      <c r="N47" s="8"/>
      <c r="O47" s="9" t="s">
        <v>130</v>
      </c>
      <c r="P47" s="8"/>
    </row>
    <row r="48" spans="1:16" ht="18" customHeight="1">
      <c r="A48" s="8" t="s">
        <v>726</v>
      </c>
      <c r="B48" s="8" t="s">
        <v>699</v>
      </c>
      <c r="C48" s="8" t="s">
        <v>727</v>
      </c>
      <c r="D48" s="8" t="s">
        <v>133</v>
      </c>
      <c r="E48" s="2" t="s">
        <v>728</v>
      </c>
      <c r="F48" s="3">
        <f>DSTDEVP(SharedData!$A$30:$F$50,"Amount",SharedData!$H$30:$I$32)</f>
        <v>50.430247635156519</v>
      </c>
      <c r="G48" s="8"/>
      <c r="H48" s="8"/>
      <c r="I48" s="8"/>
      <c r="J48" s="8"/>
      <c r="K48" s="8"/>
      <c r="L48" s="8"/>
      <c r="M48" s="6" t="s">
        <v>129</v>
      </c>
      <c r="N48" s="8"/>
      <c r="O48" s="9" t="s">
        <v>130</v>
      </c>
      <c r="P48" s="8"/>
    </row>
    <row r="49" spans="1:16" ht="18" customHeight="1">
      <c r="A49" s="8" t="s">
        <v>729</v>
      </c>
      <c r="B49" s="8" t="s">
        <v>699</v>
      </c>
      <c r="C49" s="8" t="s">
        <v>730</v>
      </c>
      <c r="D49" s="8" t="s">
        <v>133</v>
      </c>
      <c r="E49" s="2" t="s">
        <v>731</v>
      </c>
      <c r="F49" s="3">
        <f>DSUM(SharedData!$A$30:$F$50,"Amount",SharedData!$H$30:$I$32)</f>
        <v>910</v>
      </c>
      <c r="G49" s="8"/>
      <c r="H49" s="8"/>
      <c r="I49" s="8"/>
      <c r="J49" s="8"/>
      <c r="K49" s="8"/>
      <c r="L49" s="8"/>
      <c r="M49" s="6" t="s">
        <v>129</v>
      </c>
      <c r="N49" s="8"/>
      <c r="O49" s="9" t="s">
        <v>130</v>
      </c>
      <c r="P49" s="8"/>
    </row>
    <row r="50" spans="1:16" ht="18" customHeight="1">
      <c r="A50" s="8" t="s">
        <v>732</v>
      </c>
      <c r="B50" s="8" t="s">
        <v>699</v>
      </c>
      <c r="C50" s="8" t="s">
        <v>733</v>
      </c>
      <c r="D50" s="8" t="s">
        <v>133</v>
      </c>
      <c r="E50" s="2" t="s">
        <v>734</v>
      </c>
      <c r="F50" s="3">
        <f>DVAR(SharedData!$A$30:$F$50,"Amount",SharedData!$H$30:$I$32)</f>
        <v>2861.1111111111113</v>
      </c>
      <c r="G50" s="8"/>
      <c r="H50" s="8"/>
      <c r="I50" s="8"/>
      <c r="J50" s="8"/>
      <c r="K50" s="8"/>
      <c r="L50" s="8"/>
      <c r="M50" s="6" t="s">
        <v>129</v>
      </c>
      <c r="N50" s="8"/>
      <c r="O50" s="9" t="s">
        <v>130</v>
      </c>
      <c r="P50" s="8"/>
    </row>
    <row r="51" spans="1:16" ht="18" customHeight="1">
      <c r="A51" s="8" t="s">
        <v>735</v>
      </c>
      <c r="B51" s="8" t="s">
        <v>699</v>
      </c>
      <c r="C51" s="8" t="s">
        <v>736</v>
      </c>
      <c r="D51" s="8" t="s">
        <v>133</v>
      </c>
      <c r="E51" s="2" t="s">
        <v>737</v>
      </c>
      <c r="F51" s="3">
        <f>DVARP(SharedData!$A$30:$F$50,"Amount",SharedData!$H$30:$I$32)</f>
        <v>2543.2098765432097</v>
      </c>
      <c r="G51" s="8"/>
      <c r="H51" s="8"/>
      <c r="I51" s="8"/>
      <c r="J51" s="8"/>
      <c r="K51" s="8"/>
      <c r="L51" s="8"/>
      <c r="M51" s="6" t="s">
        <v>129</v>
      </c>
      <c r="N51" s="8"/>
      <c r="O51" s="9" t="s">
        <v>130</v>
      </c>
      <c r="P51" s="8"/>
    </row>
    <row r="52" spans="1:16" ht="18" customHeight="1">
      <c r="A52" s="8" t="s">
        <v>738</v>
      </c>
      <c r="B52" s="8" t="s">
        <v>596</v>
      </c>
      <c r="C52" s="8" t="s">
        <v>739</v>
      </c>
      <c r="D52" s="8" t="s">
        <v>137</v>
      </c>
      <c r="E52" s="2" t="s">
        <v>740</v>
      </c>
      <c r="F52" s="3">
        <f>_xlfn.EXPON.DIST(0.5,1,TRUE)</f>
        <v>0.39346934028736658</v>
      </c>
      <c r="G52" s="8"/>
      <c r="H52" s="8"/>
      <c r="I52" s="8"/>
      <c r="J52" s="8"/>
      <c r="K52" s="8"/>
      <c r="L52" s="8"/>
      <c r="M52" s="6" t="s">
        <v>129</v>
      </c>
      <c r="N52" s="8"/>
      <c r="O52" s="9" t="s">
        <v>130</v>
      </c>
      <c r="P52" s="8"/>
    </row>
    <row r="53" spans="1:16" ht="18" customHeight="1">
      <c r="A53" s="8" t="s">
        <v>741</v>
      </c>
      <c r="B53" s="8" t="s">
        <v>596</v>
      </c>
      <c r="C53" s="8" t="s">
        <v>742</v>
      </c>
      <c r="D53" s="8" t="s">
        <v>137</v>
      </c>
      <c r="E53" s="2" t="s">
        <v>743</v>
      </c>
      <c r="F53" s="3">
        <f>EXPONDIST(0.5,1,TRUE)</f>
        <v>0.39346934028736658</v>
      </c>
      <c r="G53" s="8"/>
      <c r="H53" s="8"/>
      <c r="I53" s="8"/>
      <c r="J53" s="8"/>
      <c r="K53" s="8"/>
      <c r="L53" s="8"/>
      <c r="M53" s="6" t="s">
        <v>129</v>
      </c>
      <c r="N53" s="3" t="str">
        <f>IF(ISERROR(F53),"ERROR "&amp;IFERROR(ERROR.TYPE(F53),""),"OK")</f>
        <v>OK</v>
      </c>
      <c r="O53" s="9" t="s">
        <v>130</v>
      </c>
      <c r="P53" s="3">
        <f>IFERROR(N(F53),0)+IFERROR(N(Arithmetic!$F$41),0)+ROW()/100000</f>
        <v>2.4798289832208549</v>
      </c>
    </row>
    <row r="54" spans="1:16" ht="18" customHeight="1">
      <c r="A54" s="8" t="s">
        <v>744</v>
      </c>
      <c r="B54" s="8" t="s">
        <v>596</v>
      </c>
      <c r="C54" s="8" t="s">
        <v>745</v>
      </c>
      <c r="D54" s="8" t="s">
        <v>137</v>
      </c>
      <c r="E54" s="2" t="s">
        <v>746</v>
      </c>
      <c r="F54" s="3">
        <f>_xlfn.F.DIST(1.5,6,4,TRUE)</f>
        <v>0.6381079093869263</v>
      </c>
      <c r="G54" s="8"/>
      <c r="H54" s="8"/>
      <c r="I54" s="8"/>
      <c r="J54" s="8"/>
      <c r="K54" s="8"/>
      <c r="L54" s="8"/>
      <c r="M54" s="6" t="s">
        <v>129</v>
      </c>
      <c r="N54" s="8"/>
      <c r="O54" s="9" t="s">
        <v>130</v>
      </c>
      <c r="P54" s="8"/>
    </row>
    <row r="55" spans="1:16" ht="18" customHeight="1">
      <c r="A55" s="8" t="s">
        <v>747</v>
      </c>
      <c r="B55" s="8" t="s">
        <v>596</v>
      </c>
      <c r="C55" s="8" t="s">
        <v>748</v>
      </c>
      <c r="D55" s="8" t="s">
        <v>137</v>
      </c>
      <c r="E55" s="2" t="s">
        <v>749</v>
      </c>
      <c r="F55" s="3">
        <f>_xlfn.F.DIST.RT(1.5,6,4)</f>
        <v>0.3618920906130737</v>
      </c>
      <c r="G55" s="8"/>
      <c r="H55" s="8"/>
      <c r="I55" s="8"/>
      <c r="J55" s="8"/>
      <c r="K55" s="8"/>
      <c r="L55" s="8"/>
      <c r="M55" s="6" t="s">
        <v>129</v>
      </c>
      <c r="N55" s="8"/>
      <c r="O55" s="9" t="s">
        <v>130</v>
      </c>
      <c r="P55" s="8"/>
    </row>
    <row r="56" spans="1:16" ht="18" customHeight="1">
      <c r="A56" s="8" t="s">
        <v>750</v>
      </c>
      <c r="B56" s="8" t="s">
        <v>596</v>
      </c>
      <c r="C56" s="8" t="s">
        <v>751</v>
      </c>
      <c r="D56" s="8" t="s">
        <v>137</v>
      </c>
      <c r="E56" s="2" t="s">
        <v>752</v>
      </c>
      <c r="F56" s="3">
        <f>_xlfn.F.INV(0.9,6,4)</f>
        <v>4.0097493126739456</v>
      </c>
      <c r="G56" s="8"/>
      <c r="H56" s="8"/>
      <c r="I56" s="8"/>
      <c r="J56" s="8"/>
      <c r="K56" s="8"/>
      <c r="L56" s="8"/>
      <c r="M56" s="6" t="s">
        <v>129</v>
      </c>
      <c r="N56" s="8"/>
      <c r="O56" s="9" t="s">
        <v>130</v>
      </c>
      <c r="P56" s="8"/>
    </row>
    <row r="57" spans="1:16" ht="18" customHeight="1">
      <c r="A57" s="8" t="s">
        <v>753</v>
      </c>
      <c r="B57" s="8" t="s">
        <v>596</v>
      </c>
      <c r="C57" s="8" t="s">
        <v>754</v>
      </c>
      <c r="D57" s="8" t="s">
        <v>137</v>
      </c>
      <c r="E57" s="2" t="s">
        <v>755</v>
      </c>
      <c r="F57" s="3">
        <f>_xlfn.F.INV.RT(0.1,6,4)</f>
        <v>4.0097493126739447</v>
      </c>
      <c r="G57" s="8"/>
      <c r="H57" s="8"/>
      <c r="I57" s="8"/>
      <c r="J57" s="8"/>
      <c r="K57" s="8"/>
      <c r="L57" s="8"/>
      <c r="M57" s="6" t="s">
        <v>129</v>
      </c>
      <c r="N57" s="8"/>
      <c r="O57" s="9" t="s">
        <v>130</v>
      </c>
      <c r="P57" s="8"/>
    </row>
    <row r="58" spans="1:16" ht="18" customHeight="1">
      <c r="A58" s="8" t="s">
        <v>756</v>
      </c>
      <c r="B58" s="8" t="s">
        <v>596</v>
      </c>
      <c r="C58" s="8" t="s">
        <v>757</v>
      </c>
      <c r="D58" s="8" t="s">
        <v>127</v>
      </c>
      <c r="E58" s="2" t="s">
        <v>758</v>
      </c>
      <c r="F58" s="3">
        <f>_xlfn.F.TEST(SharedData!$E$6:$E$15,SharedData!$F$6:$F$15)</f>
        <v>4.0987363455882598E-9</v>
      </c>
      <c r="G58" s="8"/>
      <c r="H58" s="8"/>
      <c r="I58" s="8"/>
      <c r="J58" s="8"/>
      <c r="K58" s="8"/>
      <c r="L58" s="8"/>
      <c r="M58" s="6" t="s">
        <v>129</v>
      </c>
      <c r="N58" s="8"/>
      <c r="O58" s="9" t="s">
        <v>130</v>
      </c>
      <c r="P58" s="8"/>
    </row>
    <row r="59" spans="1:16" ht="18" customHeight="1">
      <c r="A59" s="8" t="s">
        <v>759</v>
      </c>
      <c r="B59" s="8" t="s">
        <v>596</v>
      </c>
      <c r="C59" s="8" t="s">
        <v>760</v>
      </c>
      <c r="D59" s="8" t="s">
        <v>137</v>
      </c>
      <c r="E59" s="2" t="s">
        <v>761</v>
      </c>
      <c r="F59" s="3">
        <f>FDIST(1.5,6,4)</f>
        <v>0.3618920906130737</v>
      </c>
      <c r="G59" s="8"/>
      <c r="H59" s="8"/>
      <c r="I59" s="8"/>
      <c r="J59" s="8"/>
      <c r="K59" s="8"/>
      <c r="L59" s="8"/>
      <c r="M59" s="6" t="s">
        <v>129</v>
      </c>
      <c r="N59" s="8"/>
      <c r="O59" s="9" t="s">
        <v>130</v>
      </c>
      <c r="P59" s="8"/>
    </row>
    <row r="60" spans="1:16" ht="18" customHeight="1">
      <c r="A60" s="8" t="s">
        <v>762</v>
      </c>
      <c r="B60" s="8" t="s">
        <v>596</v>
      </c>
      <c r="C60" s="8" t="s">
        <v>763</v>
      </c>
      <c r="D60" s="8" t="s">
        <v>137</v>
      </c>
      <c r="E60" s="2" t="s">
        <v>764</v>
      </c>
      <c r="F60" s="3">
        <f>FINV(0.1,6,4)</f>
        <v>4.0097493126739447</v>
      </c>
      <c r="G60" s="8"/>
      <c r="H60" s="8"/>
      <c r="I60" s="8"/>
      <c r="J60" s="8"/>
      <c r="K60" s="8"/>
      <c r="L60" s="8"/>
      <c r="M60" s="6" t="s">
        <v>129</v>
      </c>
      <c r="N60" s="8"/>
      <c r="O60" s="9" t="s">
        <v>130</v>
      </c>
      <c r="P60" s="8"/>
    </row>
    <row r="61" spans="1:16" ht="18" customHeight="1">
      <c r="A61" s="8" t="s">
        <v>765</v>
      </c>
      <c r="B61" s="8" t="s">
        <v>596</v>
      </c>
      <c r="C61" s="8" t="s">
        <v>766</v>
      </c>
      <c r="D61" s="8" t="s">
        <v>137</v>
      </c>
      <c r="E61" s="2" t="s">
        <v>767</v>
      </c>
      <c r="F61" s="3">
        <f>FISHER(0.75)</f>
        <v>0.97295507452765662</v>
      </c>
      <c r="G61" s="8"/>
      <c r="H61" s="8"/>
      <c r="I61" s="8"/>
      <c r="J61" s="8"/>
      <c r="K61" s="8"/>
      <c r="L61" s="8"/>
      <c r="M61" s="6" t="s">
        <v>129</v>
      </c>
      <c r="N61" s="3" t="str">
        <f>IF(ISERROR(F61),"ERROR "&amp;IFERROR(ERROR.TYPE(F61),""),"OK")</f>
        <v>OK</v>
      </c>
      <c r="O61" s="9" t="s">
        <v>130</v>
      </c>
      <c r="P61" s="8"/>
    </row>
    <row r="62" spans="1:16" ht="18" customHeight="1">
      <c r="A62" s="8" t="s">
        <v>768</v>
      </c>
      <c r="B62" s="8" t="s">
        <v>596</v>
      </c>
      <c r="C62" s="8" t="s">
        <v>769</v>
      </c>
      <c r="D62" s="8" t="s">
        <v>137</v>
      </c>
      <c r="E62" s="2" t="s">
        <v>770</v>
      </c>
      <c r="F62" s="3">
        <f>FISHERINV(0.9)</f>
        <v>0.71629787019902447</v>
      </c>
      <c r="G62" s="8"/>
      <c r="H62" s="8"/>
      <c r="I62" s="8"/>
      <c r="J62" s="8"/>
      <c r="K62" s="8"/>
      <c r="L62" s="8"/>
      <c r="M62" s="6" t="s">
        <v>129</v>
      </c>
      <c r="N62" s="8"/>
      <c r="O62" s="9" t="s">
        <v>130</v>
      </c>
      <c r="P62" s="8"/>
    </row>
    <row r="63" spans="1:16" ht="18" customHeight="1">
      <c r="A63" s="8" t="s">
        <v>771</v>
      </c>
      <c r="B63" s="8" t="s">
        <v>596</v>
      </c>
      <c r="C63" s="8" t="s">
        <v>772</v>
      </c>
      <c r="D63" s="8" t="s">
        <v>127</v>
      </c>
      <c r="E63" s="2" t="s">
        <v>773</v>
      </c>
      <c r="F63" s="3">
        <f>FORECAST(21,SharedData!$J$6:$J$25,SharedData!$I$6:$I$25)</f>
        <v>45</v>
      </c>
      <c r="G63" s="8"/>
      <c r="H63" s="8"/>
      <c r="I63" s="8"/>
      <c r="J63" s="8"/>
      <c r="K63" s="8"/>
      <c r="L63" s="8"/>
      <c r="M63" s="6" t="s">
        <v>129</v>
      </c>
      <c r="N63" s="8"/>
      <c r="O63" s="9" t="s">
        <v>130</v>
      </c>
      <c r="P63" s="8"/>
    </row>
    <row r="64" spans="1:16" ht="18" customHeight="1">
      <c r="A64" s="8" t="s">
        <v>774</v>
      </c>
      <c r="B64" s="8" t="s">
        <v>596</v>
      </c>
      <c r="C64" s="8" t="s">
        <v>775</v>
      </c>
      <c r="D64" s="8" t="s">
        <v>127</v>
      </c>
      <c r="E64" s="2" t="s">
        <v>776</v>
      </c>
      <c r="F64" s="3" t="e">
        <f>_xlfn.FORECAST.ETS(SharedData!$D$25+30,SharedData!$E$6:$E$25,SharedData!$D$6:$D$25,1,1,1)</f>
        <v>#N/A</v>
      </c>
      <c r="G64" s="8"/>
      <c r="H64" s="8"/>
      <c r="I64" s="8"/>
      <c r="J64" s="8"/>
      <c r="K64" s="8"/>
      <c r="L64" s="8"/>
      <c r="M64" s="6" t="s">
        <v>129</v>
      </c>
      <c r="N64" s="8"/>
      <c r="O64" s="9" t="s">
        <v>130</v>
      </c>
      <c r="P64" s="8"/>
    </row>
    <row r="65" spans="1:16" ht="18" customHeight="1">
      <c r="A65" s="8" t="s">
        <v>777</v>
      </c>
      <c r="B65" s="8" t="s">
        <v>596</v>
      </c>
      <c r="C65" s="8" t="s">
        <v>778</v>
      </c>
      <c r="D65" s="8" t="s">
        <v>127</v>
      </c>
      <c r="E65" s="2" t="s">
        <v>779</v>
      </c>
      <c r="F65" s="3" t="e">
        <f>_xlfn.FORECAST.ETS.CONFINT(SharedData!$D$25+30,SharedData!$E$6:$E$25,SharedData!$D$6:$D$25,0.95,1,1,1)</f>
        <v>#N/A</v>
      </c>
      <c r="G65" s="8"/>
      <c r="H65" s="8"/>
      <c r="I65" s="8"/>
      <c r="J65" s="8"/>
      <c r="K65" s="8"/>
      <c r="L65" s="8"/>
      <c r="M65" s="6" t="s">
        <v>129</v>
      </c>
      <c r="N65" s="8"/>
      <c r="O65" s="9" t="s">
        <v>130</v>
      </c>
      <c r="P65" s="3">
        <f>IFERROR(N(F65),0)+IFERROR(N(Arithmetic!$F$53),0)+ROW()/100000</f>
        <v>2.0006499999999998</v>
      </c>
    </row>
    <row r="66" spans="1:16" ht="18" customHeight="1">
      <c r="A66" s="8" t="s">
        <v>780</v>
      </c>
      <c r="B66" s="8" t="s">
        <v>596</v>
      </c>
      <c r="C66" s="8" t="s">
        <v>781</v>
      </c>
      <c r="D66" s="8" t="s">
        <v>127</v>
      </c>
      <c r="E66" s="2" t="s">
        <v>782</v>
      </c>
      <c r="F66" s="3" t="e">
        <f>_xlfn.FORECAST.ETS.SEASONALITY(SharedData!$E$6:$E$25,SharedData!$D$6:$D$25,1,1)</f>
        <v>#N/A</v>
      </c>
      <c r="G66" s="8"/>
      <c r="H66" s="8"/>
      <c r="I66" s="8"/>
      <c r="J66" s="8"/>
      <c r="K66" s="8"/>
      <c r="L66" s="8"/>
      <c r="M66" s="6" t="s">
        <v>129</v>
      </c>
      <c r="N66" s="8"/>
      <c r="O66" s="9" t="s">
        <v>130</v>
      </c>
      <c r="P66" s="8"/>
    </row>
    <row r="67" spans="1:16" ht="18" customHeight="1">
      <c r="A67" s="8" t="s">
        <v>783</v>
      </c>
      <c r="B67" s="8" t="s">
        <v>596</v>
      </c>
      <c r="C67" s="8" t="s">
        <v>784</v>
      </c>
      <c r="D67" s="8" t="s">
        <v>127</v>
      </c>
      <c r="E67" s="2" t="s">
        <v>785</v>
      </c>
      <c r="F67" s="3" t="e">
        <f>_xlfn.FORECAST.ETS.STAT(SharedData!$E$6:$E$25,SharedData!$D$6:$D$25,1,1,1,1)</f>
        <v>#N/A</v>
      </c>
      <c r="G67" s="8"/>
      <c r="H67" s="8"/>
      <c r="I67" s="8"/>
      <c r="J67" s="8"/>
      <c r="K67" s="8"/>
      <c r="L67" s="8"/>
      <c r="M67" s="6" t="s">
        <v>129</v>
      </c>
      <c r="N67" s="8"/>
      <c r="O67" s="9" t="s">
        <v>130</v>
      </c>
      <c r="P67" s="8"/>
    </row>
    <row r="68" spans="1:16" ht="18" customHeight="1">
      <c r="A68" s="8" t="s">
        <v>786</v>
      </c>
      <c r="B68" s="8" t="s">
        <v>596</v>
      </c>
      <c r="C68" s="8" t="s">
        <v>787</v>
      </c>
      <c r="D68" s="8" t="s">
        <v>127</v>
      </c>
      <c r="E68" s="2" t="s">
        <v>788</v>
      </c>
      <c r="F68" s="3">
        <f>_xlfn.FORECAST.LINEAR(21,SharedData!$J$6:$J$25,SharedData!$I$6:$I$25)</f>
        <v>45</v>
      </c>
      <c r="G68" s="8"/>
      <c r="H68" s="8"/>
      <c r="I68" s="8"/>
      <c r="J68" s="8"/>
      <c r="K68" s="8"/>
      <c r="L68" s="8"/>
      <c r="M68" s="6" t="s">
        <v>129</v>
      </c>
      <c r="N68" s="8"/>
      <c r="O68" s="9" t="s">
        <v>130</v>
      </c>
      <c r="P68" s="8"/>
    </row>
    <row r="69" spans="1:16" ht="18" customHeight="1">
      <c r="A69" s="8" t="s">
        <v>789</v>
      </c>
      <c r="B69" s="8" t="s">
        <v>596</v>
      </c>
      <c r="C69" s="8" t="s">
        <v>790</v>
      </c>
      <c r="D69" s="8" t="s">
        <v>127</v>
      </c>
      <c r="E69" s="2" t="s">
        <v>791</v>
      </c>
      <c r="F69" s="3">
        <f>FTEST(SharedData!$E$6:$E$15,SharedData!$F$6:$F$15)</f>
        <v>4.0987363455882598E-9</v>
      </c>
      <c r="G69" s="8"/>
      <c r="H69" s="8"/>
      <c r="I69" s="8"/>
      <c r="J69" s="8"/>
      <c r="K69" s="8"/>
      <c r="L69" s="8"/>
      <c r="M69" s="6" t="s">
        <v>129</v>
      </c>
      <c r="N69" s="3" t="str">
        <f>IF(ISERROR(F69),"ERROR "&amp;IFERROR(ERROR.TYPE(F69),""),"OK")</f>
        <v>OK</v>
      </c>
      <c r="O69" s="9" t="s">
        <v>130</v>
      </c>
      <c r="P69" s="8"/>
    </row>
    <row r="70" spans="1:16" ht="18" customHeight="1">
      <c r="A70" s="8" t="s">
        <v>792</v>
      </c>
      <c r="B70" s="8" t="s">
        <v>596</v>
      </c>
      <c r="C70" s="8" t="s">
        <v>793</v>
      </c>
      <c r="D70" s="8" t="s">
        <v>137</v>
      </c>
      <c r="E70" s="2" t="s">
        <v>794</v>
      </c>
      <c r="F70" s="3">
        <f>_xlfn.GAMMA(2.5)</f>
        <v>1.329340388179137</v>
      </c>
      <c r="G70" s="8"/>
      <c r="H70" s="8"/>
      <c r="I70" s="8"/>
      <c r="J70" s="8"/>
      <c r="K70" s="8"/>
      <c r="L70" s="8"/>
      <c r="M70" s="6" t="s">
        <v>129</v>
      </c>
      <c r="N70" s="8"/>
      <c r="O70" s="9" t="s">
        <v>130</v>
      </c>
      <c r="P70" s="8"/>
    </row>
    <row r="71" spans="1:16" ht="18" customHeight="1">
      <c r="A71" s="8" t="s">
        <v>795</v>
      </c>
      <c r="B71" s="8" t="s">
        <v>596</v>
      </c>
      <c r="C71" s="8" t="s">
        <v>796</v>
      </c>
      <c r="D71" s="8" t="s">
        <v>137</v>
      </c>
      <c r="E71" s="2" t="s">
        <v>797</v>
      </c>
      <c r="F71" s="3">
        <f>_xlfn.GAMMA.DIST(2,3,1.5,TRUE)</f>
        <v>0.15063144384932486</v>
      </c>
      <c r="G71" s="8"/>
      <c r="H71" s="8"/>
      <c r="I71" s="8"/>
      <c r="J71" s="8"/>
      <c r="K71" s="8"/>
      <c r="L71" s="8"/>
      <c r="M71" s="6" t="s">
        <v>129</v>
      </c>
      <c r="N71" s="8"/>
      <c r="O71" s="9" t="s">
        <v>130</v>
      </c>
      <c r="P71" s="8"/>
    </row>
    <row r="72" spans="1:16" ht="18" customHeight="1">
      <c r="A72" s="8" t="s">
        <v>798</v>
      </c>
      <c r="B72" s="8" t="s">
        <v>596</v>
      </c>
      <c r="C72" s="8" t="s">
        <v>799</v>
      </c>
      <c r="D72" s="8" t="s">
        <v>137</v>
      </c>
      <c r="E72" s="2" t="s">
        <v>800</v>
      </c>
      <c r="F72" s="3">
        <f>_xlfn.GAMMA.INV(0.7,3,1.5)</f>
        <v>5.4233514987989846</v>
      </c>
      <c r="G72" s="8"/>
      <c r="H72" s="8"/>
      <c r="I72" s="8"/>
      <c r="J72" s="8"/>
      <c r="K72" s="8"/>
      <c r="L72" s="8"/>
      <c r="M72" s="6" t="s">
        <v>129</v>
      </c>
      <c r="N72" s="8"/>
      <c r="O72" s="9" t="s">
        <v>130</v>
      </c>
      <c r="P72" s="8"/>
    </row>
    <row r="73" spans="1:16" ht="18" customHeight="1">
      <c r="A73" s="8" t="s">
        <v>801</v>
      </c>
      <c r="B73" s="8" t="s">
        <v>596</v>
      </c>
      <c r="C73" s="8" t="s">
        <v>802</v>
      </c>
      <c r="D73" s="8" t="s">
        <v>137</v>
      </c>
      <c r="E73" s="2" t="s">
        <v>803</v>
      </c>
      <c r="F73" s="3">
        <f>GAMMADIST(2,3,1.5,TRUE)</f>
        <v>0.15063144384932486</v>
      </c>
      <c r="G73" s="8"/>
      <c r="H73" s="8"/>
      <c r="I73" s="8"/>
      <c r="J73" s="8"/>
      <c r="K73" s="8"/>
      <c r="L73" s="8"/>
      <c r="M73" s="6" t="s">
        <v>129</v>
      </c>
      <c r="N73" s="8"/>
      <c r="O73" s="9" t="s">
        <v>130</v>
      </c>
      <c r="P73" s="8"/>
    </row>
    <row r="74" spans="1:16" ht="18" customHeight="1">
      <c r="A74" s="8" t="s">
        <v>804</v>
      </c>
      <c r="B74" s="8" t="s">
        <v>596</v>
      </c>
      <c r="C74" s="8" t="s">
        <v>805</v>
      </c>
      <c r="D74" s="8" t="s">
        <v>137</v>
      </c>
      <c r="E74" s="2" t="s">
        <v>806</v>
      </c>
      <c r="F74" s="3">
        <f>GAMMAINV(0.7,3,1.5)</f>
        <v>5.4233514987989846</v>
      </c>
      <c r="G74" s="8"/>
      <c r="H74" s="8"/>
      <c r="I74" s="8"/>
      <c r="J74" s="8"/>
      <c r="K74" s="8"/>
      <c r="L74" s="8"/>
      <c r="M74" s="6" t="s">
        <v>129</v>
      </c>
      <c r="N74" s="8"/>
      <c r="O74" s="9" t="s">
        <v>130</v>
      </c>
      <c r="P74" s="8"/>
    </row>
    <row r="75" spans="1:16" ht="18" customHeight="1">
      <c r="A75" s="8" t="s">
        <v>807</v>
      </c>
      <c r="B75" s="8" t="s">
        <v>596</v>
      </c>
      <c r="C75" s="8" t="s">
        <v>808</v>
      </c>
      <c r="D75" s="8" t="s">
        <v>137</v>
      </c>
      <c r="E75" s="2" t="s">
        <v>809</v>
      </c>
      <c r="F75" s="3">
        <f>GAMMALN(4.5)</f>
        <v>2.4537365708424423</v>
      </c>
      <c r="G75" s="8"/>
      <c r="H75" s="8"/>
      <c r="I75" s="8"/>
      <c r="J75" s="8"/>
      <c r="K75" s="8"/>
      <c r="L75" s="8"/>
      <c r="M75" s="6" t="s">
        <v>129</v>
      </c>
      <c r="N75" s="8"/>
      <c r="O75" s="9" t="s">
        <v>130</v>
      </c>
      <c r="P75" s="8"/>
    </row>
    <row r="76" spans="1:16" ht="18" customHeight="1">
      <c r="A76" s="8" t="s">
        <v>810</v>
      </c>
      <c r="B76" s="8" t="s">
        <v>596</v>
      </c>
      <c r="C76" s="8" t="s">
        <v>811</v>
      </c>
      <c r="D76" s="8" t="s">
        <v>137</v>
      </c>
      <c r="E76" s="2" t="s">
        <v>812</v>
      </c>
      <c r="F76" s="3">
        <f>_xlfn.GAMMALN.PRECISE(4.5)</f>
        <v>2.4537365708424423</v>
      </c>
      <c r="G76" s="8"/>
      <c r="H76" s="8"/>
      <c r="I76" s="8"/>
      <c r="J76" s="8"/>
      <c r="K76" s="8"/>
      <c r="L76" s="8"/>
      <c r="M76" s="6" t="s">
        <v>129</v>
      </c>
      <c r="N76" s="8"/>
      <c r="O76" s="9" t="s">
        <v>130</v>
      </c>
      <c r="P76" s="8"/>
    </row>
    <row r="77" spans="1:16" ht="18" customHeight="1">
      <c r="A77" s="8" t="s">
        <v>813</v>
      </c>
      <c r="B77" s="8" t="s">
        <v>596</v>
      </c>
      <c r="C77" s="8" t="s">
        <v>814</v>
      </c>
      <c r="D77" s="8" t="s">
        <v>137</v>
      </c>
      <c r="E77" s="2" t="s">
        <v>815</v>
      </c>
      <c r="F77" s="3">
        <f>_xlfn.GAUSS(1.28)</f>
        <v>0.39972743204555794</v>
      </c>
      <c r="G77" s="8"/>
      <c r="H77" s="8"/>
      <c r="I77" s="8"/>
      <c r="J77" s="8"/>
      <c r="K77" s="8"/>
      <c r="L77" s="8"/>
      <c r="M77" s="6" t="s">
        <v>129</v>
      </c>
      <c r="N77" s="3" t="str">
        <f>IF(ISERROR(F77),"ERROR "&amp;IFERROR(ERROR.TYPE(F77),""),"OK")</f>
        <v>OK</v>
      </c>
      <c r="O77" s="9" t="s">
        <v>130</v>
      </c>
      <c r="P77" s="3">
        <f>IFERROR(N(F77),0)+IFERROR(N(Arithmetic!$F$65),0)+ROW()/100000</f>
        <v>5.4004974320455581</v>
      </c>
    </row>
    <row r="78" spans="1:16" ht="18" customHeight="1">
      <c r="A78" s="8" t="s">
        <v>816</v>
      </c>
      <c r="B78" s="8" t="s">
        <v>596</v>
      </c>
      <c r="C78" s="8" t="s">
        <v>817</v>
      </c>
      <c r="D78" s="8" t="s">
        <v>133</v>
      </c>
      <c r="E78" s="2" t="s">
        <v>818</v>
      </c>
      <c r="F78" s="3">
        <f>GEOMEAN(SharedData!$E$6:$E$25)</f>
        <v>83.04361203739343</v>
      </c>
      <c r="G78" s="8"/>
      <c r="H78" s="8"/>
      <c r="I78" s="8"/>
      <c r="J78" s="8"/>
      <c r="K78" s="8"/>
      <c r="L78" s="8"/>
      <c r="M78" s="6" t="s">
        <v>129</v>
      </c>
      <c r="N78" s="8"/>
      <c r="O78" s="9" t="s">
        <v>130</v>
      </c>
      <c r="P78" s="8"/>
    </row>
    <row r="79" spans="1:16" ht="18" customHeight="1">
      <c r="A79" s="8" t="s">
        <v>819</v>
      </c>
      <c r="B79" s="8" t="s">
        <v>596</v>
      </c>
      <c r="C79" s="8" t="s">
        <v>820</v>
      </c>
      <c r="D79" s="8" t="s">
        <v>133</v>
      </c>
      <c r="E79" s="2" t="s">
        <v>821</v>
      </c>
      <c r="F79" s="3">
        <f>HARMEAN(SharedData!$E$6:$E$25)</f>
        <v>55.590459304880333</v>
      </c>
      <c r="G79" s="8"/>
      <c r="H79" s="8"/>
      <c r="I79" s="8"/>
      <c r="J79" s="8"/>
      <c r="K79" s="8"/>
      <c r="L79" s="8"/>
      <c r="M79" s="6" t="s">
        <v>129</v>
      </c>
      <c r="N79" s="8"/>
      <c r="O79" s="9" t="s">
        <v>130</v>
      </c>
      <c r="P79" s="8"/>
    </row>
    <row r="80" spans="1:16" ht="18" customHeight="1">
      <c r="A80" s="8" t="s">
        <v>822</v>
      </c>
      <c r="B80" s="8" t="s">
        <v>596</v>
      </c>
      <c r="C80" s="8" t="s">
        <v>823</v>
      </c>
      <c r="D80" s="8" t="s">
        <v>137</v>
      </c>
      <c r="E80" s="2" t="s">
        <v>824</v>
      </c>
      <c r="F80" s="3">
        <f>_xlfn.HYPGEOM.DIST(1,4,8,20,TRUE)</f>
        <v>0.46542827657378727</v>
      </c>
      <c r="G80" s="8"/>
      <c r="H80" s="8"/>
      <c r="I80" s="8"/>
      <c r="J80" s="8"/>
      <c r="K80" s="8"/>
      <c r="L80" s="8"/>
      <c r="M80" s="6" t="s">
        <v>129</v>
      </c>
      <c r="N80" s="8"/>
      <c r="O80" s="9" t="s">
        <v>130</v>
      </c>
      <c r="P80" s="8"/>
    </row>
    <row r="81" spans="1:16" ht="18" customHeight="1">
      <c r="A81" s="8" t="s">
        <v>825</v>
      </c>
      <c r="B81" s="8" t="s">
        <v>596</v>
      </c>
      <c r="C81" s="8" t="s">
        <v>826</v>
      </c>
      <c r="D81" s="8" t="s">
        <v>137</v>
      </c>
      <c r="E81" s="2" t="s">
        <v>827</v>
      </c>
      <c r="F81" s="3">
        <f>HYPGEOMDIST(1,4,8,20)</f>
        <v>0.36326109391124861</v>
      </c>
      <c r="G81" s="8"/>
      <c r="H81" s="8"/>
      <c r="I81" s="8"/>
      <c r="J81" s="8"/>
      <c r="K81" s="8"/>
      <c r="L81" s="8"/>
      <c r="M81" s="6" t="s">
        <v>129</v>
      </c>
      <c r="N81" s="8"/>
      <c r="O81" s="9" t="s">
        <v>130</v>
      </c>
      <c r="P81" s="8"/>
    </row>
    <row r="82" spans="1:16" ht="18" customHeight="1">
      <c r="A82" s="8" t="s">
        <v>828</v>
      </c>
      <c r="B82" s="8" t="s">
        <v>596</v>
      </c>
      <c r="C82" s="8" t="s">
        <v>829</v>
      </c>
      <c r="D82" s="8" t="s">
        <v>127</v>
      </c>
      <c r="E82" s="2" t="s">
        <v>830</v>
      </c>
      <c r="F82" s="3">
        <f>INTERCEPT(SharedData!$J$6:$J$25,SharedData!$I$6:$I$25)</f>
        <v>3</v>
      </c>
      <c r="G82" s="8"/>
      <c r="H82" s="8"/>
      <c r="I82" s="8"/>
      <c r="J82" s="8"/>
      <c r="K82" s="8"/>
      <c r="L82" s="8"/>
      <c r="M82" s="6" t="s">
        <v>129</v>
      </c>
      <c r="N82" s="8"/>
      <c r="O82" s="9" t="s">
        <v>130</v>
      </c>
      <c r="P82" s="8"/>
    </row>
    <row r="83" spans="1:16" ht="18" customHeight="1">
      <c r="A83" s="8" t="s">
        <v>831</v>
      </c>
      <c r="B83" s="8" t="s">
        <v>596</v>
      </c>
      <c r="C83" s="8" t="s">
        <v>832</v>
      </c>
      <c r="D83" s="8" t="s">
        <v>133</v>
      </c>
      <c r="E83" s="2" t="s">
        <v>833</v>
      </c>
      <c r="F83" s="3">
        <f>KURT(SharedData!$E$6:$E$25)</f>
        <v>-1.2000000000000011</v>
      </c>
      <c r="G83" s="8"/>
      <c r="H83" s="8"/>
      <c r="I83" s="8"/>
      <c r="J83" s="8"/>
      <c r="K83" s="8"/>
      <c r="L83" s="8"/>
      <c r="M83" s="6" t="s">
        <v>129</v>
      </c>
      <c r="N83" s="8"/>
      <c r="O83" s="9" t="s">
        <v>130</v>
      </c>
      <c r="P83" s="8"/>
    </row>
    <row r="84" spans="1:16" ht="18" customHeight="1">
      <c r="A84" s="8" t="s">
        <v>834</v>
      </c>
      <c r="B84" s="8" t="s">
        <v>596</v>
      </c>
      <c r="C84" s="8" t="s">
        <v>835</v>
      </c>
      <c r="D84" s="8" t="s">
        <v>137</v>
      </c>
      <c r="E84" s="2" t="s">
        <v>836</v>
      </c>
      <c r="F84" s="3">
        <f>LARGE(SharedData!$E$6:$E$25,3)</f>
        <v>180</v>
      </c>
      <c r="G84" s="8"/>
      <c r="H84" s="8"/>
      <c r="I84" s="8"/>
      <c r="J84" s="8"/>
      <c r="K84" s="8"/>
      <c r="L84" s="8"/>
      <c r="M84" s="6" t="s">
        <v>129</v>
      </c>
      <c r="N84" s="8"/>
      <c r="O84" s="9" t="s">
        <v>130</v>
      </c>
      <c r="P84" s="8"/>
    </row>
    <row r="85" spans="1:16" ht="18" customHeight="1">
      <c r="A85" s="8" t="s">
        <v>837</v>
      </c>
      <c r="B85" s="8" t="s">
        <v>596</v>
      </c>
      <c r="C85" s="8" t="s">
        <v>838</v>
      </c>
      <c r="D85" s="8" t="s">
        <v>133</v>
      </c>
      <c r="E85" s="2" t="s">
        <v>839</v>
      </c>
      <c r="F85" s="3">
        <f>MAX(SharedData!$E$6:$E$25)</f>
        <v>200</v>
      </c>
      <c r="G85" s="8"/>
      <c r="H85" s="8"/>
      <c r="I85" s="8"/>
      <c r="J85" s="8"/>
      <c r="K85" s="8"/>
      <c r="L85" s="8"/>
      <c r="M85" s="6" t="s">
        <v>129</v>
      </c>
      <c r="N85" s="3" t="str">
        <f>IF(ISERROR(F85),"ERROR "&amp;IFERROR(ERROR.TYPE(F85),""),"OK")</f>
        <v>OK</v>
      </c>
      <c r="O85" s="9" t="s">
        <v>130</v>
      </c>
      <c r="P85" s="8"/>
    </row>
    <row r="86" spans="1:16" ht="18" customHeight="1">
      <c r="A86" s="8" t="s">
        <v>840</v>
      </c>
      <c r="B86" s="8" t="s">
        <v>596</v>
      </c>
      <c r="C86" s="8" t="s">
        <v>841</v>
      </c>
      <c r="D86" s="8" t="s">
        <v>133</v>
      </c>
      <c r="E86" s="2" t="s">
        <v>842</v>
      </c>
      <c r="F86" s="3">
        <f>MAXA(SharedData!$E$6:$E$25)</f>
        <v>200</v>
      </c>
      <c r="G86" s="8"/>
      <c r="H86" s="8"/>
      <c r="I86" s="8"/>
      <c r="J86" s="8"/>
      <c r="K86" s="8"/>
      <c r="L86" s="8"/>
      <c r="M86" s="6" t="s">
        <v>129</v>
      </c>
      <c r="N86" s="8"/>
      <c r="O86" s="9" t="s">
        <v>130</v>
      </c>
      <c r="P86" s="8"/>
    </row>
    <row r="87" spans="1:16" ht="18" customHeight="1">
      <c r="A87" s="8" t="s">
        <v>843</v>
      </c>
      <c r="B87" s="8" t="s">
        <v>596</v>
      </c>
      <c r="C87" s="8" t="s">
        <v>844</v>
      </c>
      <c r="D87" s="8" t="s">
        <v>127</v>
      </c>
      <c r="E87" s="2" t="s">
        <v>845</v>
      </c>
      <c r="F87" s="3">
        <f>_xlfn.MAXIFS(SharedData!$E$6:$E$25,SharedData!$C$6:$C$25,"A")</f>
        <v>190</v>
      </c>
      <c r="G87" s="8"/>
      <c r="H87" s="8"/>
      <c r="I87" s="8"/>
      <c r="J87" s="8"/>
      <c r="K87" s="8"/>
      <c r="L87" s="8"/>
      <c r="M87" s="6" t="s">
        <v>129</v>
      </c>
      <c r="N87" s="8"/>
      <c r="O87" s="9" t="s">
        <v>130</v>
      </c>
      <c r="P87" s="8"/>
    </row>
    <row r="88" spans="1:16" ht="18" customHeight="1">
      <c r="A88" s="8" t="s">
        <v>846</v>
      </c>
      <c r="B88" s="8" t="s">
        <v>596</v>
      </c>
      <c r="C88" s="8" t="s">
        <v>847</v>
      </c>
      <c r="D88" s="8" t="s">
        <v>133</v>
      </c>
      <c r="E88" s="2" t="s">
        <v>848</v>
      </c>
      <c r="F88" s="3">
        <f>MEDIAN(SharedData!$E$6:$E$25)</f>
        <v>105</v>
      </c>
      <c r="G88" s="8"/>
      <c r="H88" s="8"/>
      <c r="I88" s="8"/>
      <c r="J88" s="8"/>
      <c r="K88" s="8"/>
      <c r="L88" s="8"/>
      <c r="M88" s="6" t="s">
        <v>129</v>
      </c>
      <c r="N88" s="8"/>
      <c r="O88" s="9" t="s">
        <v>130</v>
      </c>
      <c r="P88" s="8"/>
    </row>
    <row r="89" spans="1:16" ht="18" customHeight="1">
      <c r="A89" s="8" t="s">
        <v>849</v>
      </c>
      <c r="B89" s="8" t="s">
        <v>596</v>
      </c>
      <c r="C89" s="8" t="s">
        <v>850</v>
      </c>
      <c r="D89" s="8" t="s">
        <v>133</v>
      </c>
      <c r="E89" s="2" t="s">
        <v>851</v>
      </c>
      <c r="F89" s="3">
        <f>MIN(SharedData!$E$6:$E$25)</f>
        <v>10</v>
      </c>
      <c r="G89" s="8"/>
      <c r="H89" s="8"/>
      <c r="I89" s="8"/>
      <c r="J89" s="8"/>
      <c r="K89" s="8"/>
      <c r="L89" s="8"/>
      <c r="M89" s="6" t="s">
        <v>129</v>
      </c>
      <c r="N89" s="8"/>
      <c r="O89" s="9" t="s">
        <v>130</v>
      </c>
      <c r="P89" s="3">
        <f>IFERROR(N(F89),0)+IFERROR(N(Arithmetic!$F$77),0)+ROW()/100000</f>
        <v>10.00089</v>
      </c>
    </row>
    <row r="90" spans="1:16" ht="18" customHeight="1">
      <c r="A90" s="8" t="s">
        <v>852</v>
      </c>
      <c r="B90" s="8" t="s">
        <v>596</v>
      </c>
      <c r="C90" s="8" t="s">
        <v>853</v>
      </c>
      <c r="D90" s="8" t="s">
        <v>133</v>
      </c>
      <c r="E90" s="2" t="s">
        <v>854</v>
      </c>
      <c r="F90" s="3">
        <f>MINA(SharedData!$E$6:$E$25)</f>
        <v>10</v>
      </c>
      <c r="G90" s="8"/>
      <c r="H90" s="8"/>
      <c r="I90" s="8"/>
      <c r="J90" s="8"/>
      <c r="K90" s="8"/>
      <c r="L90" s="8"/>
      <c r="M90" s="6" t="s">
        <v>129</v>
      </c>
      <c r="N90" s="8"/>
      <c r="O90" s="9" t="s">
        <v>130</v>
      </c>
      <c r="P90" s="8"/>
    </row>
    <row r="91" spans="1:16" ht="18" customHeight="1">
      <c r="A91" s="8" t="s">
        <v>855</v>
      </c>
      <c r="B91" s="8" t="s">
        <v>596</v>
      </c>
      <c r="C91" s="8" t="s">
        <v>856</v>
      </c>
      <c r="D91" s="8" t="s">
        <v>127</v>
      </c>
      <c r="E91" s="2" t="s">
        <v>857</v>
      </c>
      <c r="F91" s="3">
        <f>_xlfn.MINIFS(SharedData!$E$6:$E$25,SharedData!$C$6:$C$25,"A")</f>
        <v>10</v>
      </c>
      <c r="G91" s="8"/>
      <c r="H91" s="8"/>
      <c r="I91" s="8"/>
      <c r="J91" s="8"/>
      <c r="K91" s="8"/>
      <c r="L91" s="8"/>
      <c r="M91" s="6" t="s">
        <v>129</v>
      </c>
      <c r="N91" s="8"/>
      <c r="O91" s="9" t="s">
        <v>130</v>
      </c>
      <c r="P91" s="8"/>
    </row>
    <row r="92" spans="1:16" ht="18" customHeight="1">
      <c r="A92" s="8" t="s">
        <v>858</v>
      </c>
      <c r="B92" s="8" t="s">
        <v>596</v>
      </c>
      <c r="C92" s="8" t="s">
        <v>859</v>
      </c>
      <c r="D92" s="8" t="s">
        <v>137</v>
      </c>
      <c r="E92" s="2" t="s">
        <v>860</v>
      </c>
      <c r="F92" s="3">
        <f>MODE({1,2,2,3,4})</f>
        <v>2</v>
      </c>
      <c r="G92" s="8"/>
      <c r="H92" s="8"/>
      <c r="I92" s="8"/>
      <c r="J92" s="8"/>
      <c r="K92" s="8"/>
      <c r="L92" s="8"/>
      <c r="M92" s="6" t="s">
        <v>129</v>
      </c>
      <c r="N92" s="8"/>
      <c r="O92" s="9" t="s">
        <v>130</v>
      </c>
      <c r="P92" s="8"/>
    </row>
    <row r="93" spans="1:16" ht="18" customHeight="1">
      <c r="A93" s="8" t="s">
        <v>861</v>
      </c>
      <c r="B93" s="8" t="s">
        <v>596</v>
      </c>
      <c r="C93" s="8" t="s">
        <v>862</v>
      </c>
      <c r="D93" s="8" t="s">
        <v>137</v>
      </c>
      <c r="E93" s="2" t="s">
        <v>863</v>
      </c>
      <c r="F93" s="3">
        <f>_xlfn.MODE.SNGL({1,2,2,3,4})</f>
        <v>2</v>
      </c>
      <c r="G93" s="8"/>
      <c r="H93" s="8"/>
      <c r="I93" s="8"/>
      <c r="J93" s="8"/>
      <c r="K93" s="8"/>
      <c r="L93" s="8"/>
      <c r="M93" s="6" t="s">
        <v>129</v>
      </c>
      <c r="N93" s="3" t="str">
        <f>IF(ISERROR(F93),"ERROR "&amp;IFERROR(ERROR.TYPE(F93),""),"OK")</f>
        <v>OK</v>
      </c>
      <c r="O93" s="9" t="s">
        <v>130</v>
      </c>
      <c r="P93" s="8"/>
    </row>
    <row r="94" spans="1:16" ht="18" customHeight="1">
      <c r="A94" s="8" t="s">
        <v>864</v>
      </c>
      <c r="B94" s="8" t="s">
        <v>596</v>
      </c>
      <c r="C94" s="8" t="s">
        <v>865</v>
      </c>
      <c r="D94" s="8" t="s">
        <v>137</v>
      </c>
      <c r="E94" s="2" t="s">
        <v>866</v>
      </c>
      <c r="F94" s="3">
        <f>_xlfn.NEGBINOM.DIST(6,4,0.4,TRUE)</f>
        <v>0.61771939840000012</v>
      </c>
      <c r="G94" s="8"/>
      <c r="H94" s="8"/>
      <c r="I94" s="8"/>
      <c r="J94" s="8"/>
      <c r="K94" s="8"/>
      <c r="L94" s="8"/>
      <c r="M94" s="6" t="s">
        <v>129</v>
      </c>
      <c r="N94" s="8"/>
      <c r="O94" s="9" t="s">
        <v>130</v>
      </c>
      <c r="P94" s="8"/>
    </row>
    <row r="95" spans="1:16" ht="18" customHeight="1">
      <c r="A95" s="8" t="s">
        <v>867</v>
      </c>
      <c r="B95" s="8" t="s">
        <v>596</v>
      </c>
      <c r="C95" s="8" t="s">
        <v>868</v>
      </c>
      <c r="D95" s="8" t="s">
        <v>137</v>
      </c>
      <c r="E95" s="2" t="s">
        <v>869</v>
      </c>
      <c r="F95" s="3">
        <f>NEGBINOMDIST(6,4,0.4)</f>
        <v>0.10032906240000003</v>
      </c>
      <c r="G95" s="8"/>
      <c r="H95" s="8"/>
      <c r="I95" s="8"/>
      <c r="J95" s="8"/>
      <c r="K95" s="8"/>
      <c r="L95" s="8"/>
      <c r="M95" s="6" t="s">
        <v>129</v>
      </c>
      <c r="N95" s="8"/>
      <c r="O95" s="9" t="s">
        <v>130</v>
      </c>
      <c r="P95" s="8"/>
    </row>
    <row r="96" spans="1:16" ht="18" customHeight="1">
      <c r="A96" s="8" t="s">
        <v>870</v>
      </c>
      <c r="B96" s="8" t="s">
        <v>596</v>
      </c>
      <c r="C96" s="8" t="s">
        <v>871</v>
      </c>
      <c r="D96" s="8" t="s">
        <v>137</v>
      </c>
      <c r="E96" s="2" t="s">
        <v>872</v>
      </c>
      <c r="F96" s="3">
        <f>_xlfn.NORM.DIST(105,100,12,TRUE)</f>
        <v>0.66153888048931031</v>
      </c>
      <c r="G96" s="8"/>
      <c r="H96" s="8"/>
      <c r="I96" s="8"/>
      <c r="J96" s="8"/>
      <c r="K96" s="8"/>
      <c r="L96" s="8"/>
      <c r="M96" s="6" t="s">
        <v>129</v>
      </c>
      <c r="N96" s="8"/>
      <c r="O96" s="9" t="s">
        <v>130</v>
      </c>
      <c r="P96" s="8"/>
    </row>
    <row r="97" spans="1:16" ht="18" customHeight="1">
      <c r="A97" s="8" t="s">
        <v>873</v>
      </c>
      <c r="B97" s="8" t="s">
        <v>596</v>
      </c>
      <c r="C97" s="8" t="s">
        <v>874</v>
      </c>
      <c r="D97" s="8" t="s">
        <v>137</v>
      </c>
      <c r="E97" s="2" t="s">
        <v>875</v>
      </c>
      <c r="F97" s="3">
        <f>_xlfn.NORM.INV(0.66,100,12)</f>
        <v>104.94955755329686</v>
      </c>
      <c r="G97" s="8"/>
      <c r="H97" s="8"/>
      <c r="I97" s="8"/>
      <c r="J97" s="8"/>
      <c r="K97" s="8"/>
      <c r="L97" s="8"/>
      <c r="M97" s="6" t="s">
        <v>129</v>
      </c>
      <c r="N97" s="8"/>
      <c r="O97" s="9" t="s">
        <v>130</v>
      </c>
      <c r="P97" s="8"/>
    </row>
    <row r="98" spans="1:16" ht="18" customHeight="1">
      <c r="A98" s="8" t="s">
        <v>876</v>
      </c>
      <c r="B98" s="8" t="s">
        <v>596</v>
      </c>
      <c r="C98" s="8" t="s">
        <v>877</v>
      </c>
      <c r="D98" s="8" t="s">
        <v>137</v>
      </c>
      <c r="E98" s="2" t="s">
        <v>878</v>
      </c>
      <c r="F98" s="3">
        <f>_xlfn.NORM.S.DIST(0.75,TRUE)</f>
        <v>0.77337264762313174</v>
      </c>
      <c r="G98" s="8"/>
      <c r="H98" s="8"/>
      <c r="I98" s="8"/>
      <c r="J98" s="8"/>
      <c r="K98" s="8"/>
      <c r="L98" s="8"/>
      <c r="M98" s="6" t="s">
        <v>129</v>
      </c>
      <c r="N98" s="8"/>
      <c r="O98" s="9" t="s">
        <v>130</v>
      </c>
      <c r="P98" s="8"/>
    </row>
    <row r="99" spans="1:16" ht="18" customHeight="1">
      <c r="A99" s="8" t="s">
        <v>879</v>
      </c>
      <c r="B99" s="8" t="s">
        <v>596</v>
      </c>
      <c r="C99" s="8" t="s">
        <v>880</v>
      </c>
      <c r="D99" s="8" t="s">
        <v>137</v>
      </c>
      <c r="E99" s="2" t="s">
        <v>881</v>
      </c>
      <c r="F99" s="3">
        <f>_xlfn.NORM.S.INV(0.9)</f>
        <v>1.2815515655446006</v>
      </c>
      <c r="G99" s="8"/>
      <c r="H99" s="8"/>
      <c r="I99" s="8"/>
      <c r="J99" s="8"/>
      <c r="K99" s="8"/>
      <c r="L99" s="8"/>
      <c r="M99" s="6" t="s">
        <v>129</v>
      </c>
      <c r="N99" s="8"/>
      <c r="O99" s="9" t="s">
        <v>130</v>
      </c>
      <c r="P99" s="8"/>
    </row>
    <row r="100" spans="1:16" ht="18" customHeight="1">
      <c r="A100" s="8" t="s">
        <v>882</v>
      </c>
      <c r="B100" s="8" t="s">
        <v>596</v>
      </c>
      <c r="C100" s="8" t="s">
        <v>883</v>
      </c>
      <c r="D100" s="8" t="s">
        <v>137</v>
      </c>
      <c r="E100" s="2" t="s">
        <v>884</v>
      </c>
      <c r="F100" s="3">
        <f>NORMDIST(105,100,12,TRUE)</f>
        <v>0.66153888048931031</v>
      </c>
      <c r="G100" s="8"/>
      <c r="H100" s="8"/>
      <c r="I100" s="8"/>
      <c r="J100" s="8"/>
      <c r="K100" s="8"/>
      <c r="L100" s="8"/>
      <c r="M100" s="6" t="s">
        <v>129</v>
      </c>
      <c r="N100" s="8"/>
      <c r="O100" s="9" t="s">
        <v>130</v>
      </c>
      <c r="P100" s="8"/>
    </row>
    <row r="101" spans="1:16" ht="18" customHeight="1">
      <c r="A101" s="8" t="s">
        <v>885</v>
      </c>
      <c r="B101" s="8" t="s">
        <v>596</v>
      </c>
      <c r="C101" s="8" t="s">
        <v>886</v>
      </c>
      <c r="D101" s="8" t="s">
        <v>137</v>
      </c>
      <c r="E101" s="2" t="s">
        <v>887</v>
      </c>
      <c r="F101" s="3">
        <f>NORMINV(0.66,100,12)</f>
        <v>104.94955755329686</v>
      </c>
      <c r="G101" s="8"/>
      <c r="H101" s="8"/>
      <c r="I101" s="8"/>
      <c r="J101" s="8"/>
      <c r="K101" s="8"/>
      <c r="L101" s="8"/>
      <c r="M101" s="6" t="s">
        <v>129</v>
      </c>
      <c r="N101" s="3" t="str">
        <f>IF(ISERROR(F101),"ERROR "&amp;IFERROR(ERROR.TYPE(F101),""),"OK")</f>
        <v>OK</v>
      </c>
      <c r="O101" s="9" t="s">
        <v>130</v>
      </c>
      <c r="P101" s="3">
        <f>IFERROR(N(F101),0)+IFERROR(N(Arithmetic!$F$89),0)+ROW()/100000</f>
        <v>104.95056755329685</v>
      </c>
    </row>
    <row r="102" spans="1:16" ht="18" customHeight="1">
      <c r="A102" s="8" t="s">
        <v>888</v>
      </c>
      <c r="B102" s="8" t="s">
        <v>596</v>
      </c>
      <c r="C102" s="8" t="s">
        <v>889</v>
      </c>
      <c r="D102" s="8" t="s">
        <v>137</v>
      </c>
      <c r="E102" s="2" t="s">
        <v>890</v>
      </c>
      <c r="F102" s="3">
        <f>NORMSDIST(1.28)</f>
        <v>0.89972743204555794</v>
      </c>
      <c r="G102" s="8"/>
      <c r="H102" s="8"/>
      <c r="I102" s="8"/>
      <c r="J102" s="8"/>
      <c r="K102" s="8"/>
      <c r="L102" s="8"/>
      <c r="M102" s="6" t="s">
        <v>129</v>
      </c>
      <c r="N102" s="8"/>
      <c r="O102" s="9" t="s">
        <v>130</v>
      </c>
      <c r="P102" s="8"/>
    </row>
    <row r="103" spans="1:16" ht="18" customHeight="1">
      <c r="A103" s="8" t="s">
        <v>891</v>
      </c>
      <c r="B103" s="8" t="s">
        <v>596</v>
      </c>
      <c r="C103" s="8" t="s">
        <v>892</v>
      </c>
      <c r="D103" s="8" t="s">
        <v>137</v>
      </c>
      <c r="E103" s="2" t="s">
        <v>893</v>
      </c>
      <c r="F103" s="3">
        <f>NORMSINV(0.9)</f>
        <v>1.2815515655446006</v>
      </c>
      <c r="G103" s="8"/>
      <c r="H103" s="8"/>
      <c r="I103" s="8"/>
      <c r="J103" s="8"/>
      <c r="K103" s="8"/>
      <c r="L103" s="8"/>
      <c r="M103" s="6" t="s">
        <v>129</v>
      </c>
      <c r="N103" s="8"/>
      <c r="O103" s="9" t="s">
        <v>130</v>
      </c>
      <c r="P103" s="8"/>
    </row>
    <row r="104" spans="1:16" ht="18" customHeight="1">
      <c r="A104" s="8" t="s">
        <v>894</v>
      </c>
      <c r="B104" s="8" t="s">
        <v>596</v>
      </c>
      <c r="C104" s="8" t="s">
        <v>895</v>
      </c>
      <c r="D104" s="8" t="s">
        <v>137</v>
      </c>
      <c r="E104" s="2" t="s">
        <v>896</v>
      </c>
      <c r="F104" s="3">
        <f>PEARSON(SharedData!$E$6:$E$25,SharedData!$F$6:$F$25)</f>
        <v>0.23578960605735988</v>
      </c>
      <c r="G104" s="8"/>
      <c r="H104" s="8"/>
      <c r="I104" s="8"/>
      <c r="J104" s="8"/>
      <c r="K104" s="8"/>
      <c r="L104" s="8"/>
      <c r="M104" s="6" t="s">
        <v>129</v>
      </c>
      <c r="N104" s="8"/>
      <c r="O104" s="9" t="s">
        <v>130</v>
      </c>
      <c r="P104" s="8"/>
    </row>
    <row r="105" spans="1:16" ht="18" customHeight="1">
      <c r="A105" s="8" t="s">
        <v>897</v>
      </c>
      <c r="B105" s="8" t="s">
        <v>596</v>
      </c>
      <c r="C105" s="8" t="s">
        <v>898</v>
      </c>
      <c r="D105" s="8" t="s">
        <v>137</v>
      </c>
      <c r="E105" s="2" t="s">
        <v>899</v>
      </c>
      <c r="F105" s="3">
        <f>PERCENTILE(SharedData!$E$6:$E$25,0.75)</f>
        <v>152.5</v>
      </c>
      <c r="G105" s="8"/>
      <c r="H105" s="8"/>
      <c r="I105" s="8"/>
      <c r="J105" s="8"/>
      <c r="K105" s="8"/>
      <c r="L105" s="8"/>
      <c r="M105" s="6" t="s">
        <v>129</v>
      </c>
      <c r="N105" s="8"/>
      <c r="O105" s="9" t="s">
        <v>130</v>
      </c>
      <c r="P105" s="8"/>
    </row>
    <row r="106" spans="1:16" ht="18" customHeight="1">
      <c r="A106" s="8" t="s">
        <v>900</v>
      </c>
      <c r="B106" s="8" t="s">
        <v>596</v>
      </c>
      <c r="C106" s="8" t="s">
        <v>901</v>
      </c>
      <c r="D106" s="8" t="s">
        <v>137</v>
      </c>
      <c r="E106" s="2" t="s">
        <v>902</v>
      </c>
      <c r="F106" s="3">
        <f>_xlfn.PERCENTILE.EXC(SharedData!$E$6:$E$25,0.75)</f>
        <v>157.5</v>
      </c>
      <c r="G106" s="8"/>
      <c r="H106" s="8"/>
      <c r="I106" s="8"/>
      <c r="J106" s="8"/>
      <c r="K106" s="8"/>
      <c r="L106" s="8"/>
      <c r="M106" s="6" t="s">
        <v>129</v>
      </c>
      <c r="N106" s="8"/>
      <c r="O106" s="9" t="s">
        <v>130</v>
      </c>
      <c r="P106" s="8"/>
    </row>
    <row r="107" spans="1:16" ht="18" customHeight="1">
      <c r="A107" s="8" t="s">
        <v>903</v>
      </c>
      <c r="B107" s="8" t="s">
        <v>596</v>
      </c>
      <c r="C107" s="8" t="s">
        <v>904</v>
      </c>
      <c r="D107" s="8" t="s">
        <v>137</v>
      </c>
      <c r="E107" s="2" t="s">
        <v>905</v>
      </c>
      <c r="F107" s="3">
        <f>_xlfn.PERCENTILE.INC(SharedData!$E$6:$E$25,0.75)</f>
        <v>152.5</v>
      </c>
      <c r="G107" s="8"/>
      <c r="H107" s="8"/>
      <c r="I107" s="8"/>
      <c r="J107" s="8"/>
      <c r="K107" s="8"/>
      <c r="L107" s="8"/>
      <c r="M107" s="6" t="s">
        <v>129</v>
      </c>
      <c r="N107" s="8"/>
      <c r="O107" s="9" t="s">
        <v>130</v>
      </c>
      <c r="P107" s="8"/>
    </row>
    <row r="108" spans="1:16" ht="18" customHeight="1">
      <c r="A108" s="8" t="s">
        <v>906</v>
      </c>
      <c r="B108" s="8" t="s">
        <v>596</v>
      </c>
      <c r="C108" s="8" t="s">
        <v>907</v>
      </c>
      <c r="D108" s="8" t="s">
        <v>137</v>
      </c>
      <c r="E108" s="2" t="s">
        <v>908</v>
      </c>
      <c r="F108" s="3">
        <f>PERCENTRANK(SharedData!$E$6:$E$25,100)</f>
        <v>0.47299999999999998</v>
      </c>
      <c r="G108" s="8"/>
      <c r="H108" s="8"/>
      <c r="I108" s="8"/>
      <c r="J108" s="8"/>
      <c r="K108" s="8"/>
      <c r="L108" s="8"/>
      <c r="M108" s="6" t="s">
        <v>129</v>
      </c>
      <c r="N108" s="8"/>
      <c r="O108" s="9" t="s">
        <v>130</v>
      </c>
      <c r="P108" s="8"/>
    </row>
    <row r="109" spans="1:16" ht="18" customHeight="1">
      <c r="A109" s="8" t="s">
        <v>909</v>
      </c>
      <c r="B109" s="8" t="s">
        <v>596</v>
      </c>
      <c r="C109" s="8" t="s">
        <v>910</v>
      </c>
      <c r="D109" s="8" t="s">
        <v>137</v>
      </c>
      <c r="E109" s="2" t="s">
        <v>911</v>
      </c>
      <c r="F109" s="3">
        <f>_xlfn.PERCENTRANK.EXC(SharedData!$E$6:$E$25,100)</f>
        <v>0.47599999999999998</v>
      </c>
      <c r="G109" s="8"/>
      <c r="H109" s="8"/>
      <c r="I109" s="8"/>
      <c r="J109" s="8"/>
      <c r="K109" s="8"/>
      <c r="L109" s="8"/>
      <c r="M109" s="6" t="s">
        <v>129</v>
      </c>
      <c r="N109" s="3" t="str">
        <f>IF(ISERROR(F109),"ERROR "&amp;IFERROR(ERROR.TYPE(F109),""),"OK")</f>
        <v>OK</v>
      </c>
      <c r="O109" s="9" t="s">
        <v>130</v>
      </c>
      <c r="P109" s="8"/>
    </row>
    <row r="110" spans="1:16" ht="18" customHeight="1">
      <c r="A110" s="8" t="s">
        <v>912</v>
      </c>
      <c r="B110" s="8" t="s">
        <v>596</v>
      </c>
      <c r="C110" s="8" t="s">
        <v>913</v>
      </c>
      <c r="D110" s="8" t="s">
        <v>137</v>
      </c>
      <c r="E110" s="2" t="s">
        <v>914</v>
      </c>
      <c r="F110" s="3">
        <f>_xlfn.PERCENTRANK.INC(SharedData!$E$6:$E$25,100)</f>
        <v>0.47299999999999998</v>
      </c>
      <c r="G110" s="8"/>
      <c r="H110" s="8"/>
      <c r="I110" s="8"/>
      <c r="J110" s="8"/>
      <c r="K110" s="8"/>
      <c r="L110" s="8"/>
      <c r="M110" s="6" t="s">
        <v>129</v>
      </c>
      <c r="N110" s="8"/>
      <c r="O110" s="9" t="s">
        <v>130</v>
      </c>
      <c r="P110" s="8"/>
    </row>
    <row r="111" spans="1:16" ht="18" customHeight="1">
      <c r="A111" s="8" t="s">
        <v>915</v>
      </c>
      <c r="B111" s="8" t="s">
        <v>596</v>
      </c>
      <c r="C111" s="8" t="s">
        <v>916</v>
      </c>
      <c r="D111" s="8" t="s">
        <v>137</v>
      </c>
      <c r="E111" s="2" t="s">
        <v>917</v>
      </c>
      <c r="F111" s="3">
        <f>_xlfn.PHI(0.75)</f>
        <v>0.30113743215480443</v>
      </c>
      <c r="G111" s="8"/>
      <c r="H111" s="8"/>
      <c r="I111" s="8"/>
      <c r="J111" s="8"/>
      <c r="K111" s="8"/>
      <c r="L111" s="8"/>
      <c r="M111" s="6" t="s">
        <v>129</v>
      </c>
      <c r="N111" s="8"/>
      <c r="O111" s="9" t="s">
        <v>130</v>
      </c>
      <c r="P111" s="8"/>
    </row>
    <row r="112" spans="1:16" ht="18" customHeight="1">
      <c r="A112" s="8" t="s">
        <v>918</v>
      </c>
      <c r="B112" s="8" t="s">
        <v>596</v>
      </c>
      <c r="C112" s="8" t="s">
        <v>919</v>
      </c>
      <c r="D112" s="8" t="s">
        <v>137</v>
      </c>
      <c r="E112" s="2" t="s">
        <v>920</v>
      </c>
      <c r="F112" s="3">
        <f>POISSON(3,4,TRUE)</f>
        <v>0.43347012036670896</v>
      </c>
      <c r="G112" s="8"/>
      <c r="H112" s="8"/>
      <c r="I112" s="8"/>
      <c r="J112" s="8"/>
      <c r="K112" s="8"/>
      <c r="L112" s="8"/>
      <c r="M112" s="6" t="s">
        <v>129</v>
      </c>
      <c r="N112" s="8"/>
      <c r="O112" s="9" t="s">
        <v>130</v>
      </c>
      <c r="P112" s="8"/>
    </row>
    <row r="113" spans="1:16" ht="18" customHeight="1">
      <c r="A113" s="8" t="s">
        <v>921</v>
      </c>
      <c r="B113" s="8" t="s">
        <v>596</v>
      </c>
      <c r="C113" s="8" t="s">
        <v>922</v>
      </c>
      <c r="D113" s="8" t="s">
        <v>137</v>
      </c>
      <c r="E113" s="2" t="s">
        <v>923</v>
      </c>
      <c r="F113" s="3">
        <f>_xlfn.POISSON.DIST(3,4,TRUE)</f>
        <v>0.43347012036670896</v>
      </c>
      <c r="G113" s="8"/>
      <c r="H113" s="8"/>
      <c r="I113" s="8"/>
      <c r="J113" s="8"/>
      <c r="K113" s="8"/>
      <c r="L113" s="8"/>
      <c r="M113" s="6" t="s">
        <v>129</v>
      </c>
      <c r="N113" s="8"/>
      <c r="O113" s="9" t="s">
        <v>130</v>
      </c>
      <c r="P113" s="3">
        <f>IFERROR(N(F113),0)+IFERROR(N(Arithmetic!$F$101),0)+ROW()/100000</f>
        <v>0.43460012036670898</v>
      </c>
    </row>
    <row r="114" spans="1:16" ht="18" customHeight="1">
      <c r="A114" s="8" t="s">
        <v>924</v>
      </c>
      <c r="B114" s="8" t="s">
        <v>596</v>
      </c>
      <c r="C114" s="8" t="s">
        <v>925</v>
      </c>
      <c r="D114" s="8" t="s">
        <v>127</v>
      </c>
      <c r="E114" s="2" t="s">
        <v>926</v>
      </c>
      <c r="F114" s="3">
        <f>PROB({1,2,3,4},{0.1,0.2,0.3,0.4},2,4)</f>
        <v>0.9</v>
      </c>
      <c r="G114" s="8"/>
      <c r="H114" s="8"/>
      <c r="I114" s="8"/>
      <c r="J114" s="8"/>
      <c r="K114" s="8"/>
      <c r="L114" s="8"/>
      <c r="M114" s="6" t="s">
        <v>129</v>
      </c>
      <c r="N114" s="8"/>
      <c r="O114" s="9" t="s">
        <v>130</v>
      </c>
      <c r="P114" s="8"/>
    </row>
    <row r="115" spans="1:16" ht="18" customHeight="1">
      <c r="A115" s="8" t="s">
        <v>927</v>
      </c>
      <c r="B115" s="8" t="s">
        <v>596</v>
      </c>
      <c r="C115" s="8" t="s">
        <v>928</v>
      </c>
      <c r="D115" s="8" t="s">
        <v>137</v>
      </c>
      <c r="E115" s="2" t="s">
        <v>929</v>
      </c>
      <c r="F115" s="3">
        <f>QUARTILE(SharedData!$E$6:$E$25,3)</f>
        <v>152.5</v>
      </c>
      <c r="G115" s="8"/>
      <c r="H115" s="8"/>
      <c r="I115" s="8"/>
      <c r="J115" s="8"/>
      <c r="K115" s="8"/>
      <c r="L115" s="8"/>
      <c r="M115" s="6" t="s">
        <v>129</v>
      </c>
      <c r="N115" s="8"/>
      <c r="O115" s="9" t="s">
        <v>130</v>
      </c>
      <c r="P115" s="8"/>
    </row>
    <row r="116" spans="1:16" ht="18" customHeight="1">
      <c r="A116" s="8" t="s">
        <v>930</v>
      </c>
      <c r="B116" s="8" t="s">
        <v>596</v>
      </c>
      <c r="C116" s="8" t="s">
        <v>931</v>
      </c>
      <c r="D116" s="8" t="s">
        <v>137</v>
      </c>
      <c r="E116" s="2" t="s">
        <v>932</v>
      </c>
      <c r="F116" s="3">
        <f>_xlfn.QUARTILE.EXC(SharedData!$E$6:$E$25,3)</f>
        <v>157.5</v>
      </c>
      <c r="G116" s="8"/>
      <c r="H116" s="8"/>
      <c r="I116" s="8"/>
      <c r="J116" s="8"/>
      <c r="K116" s="8"/>
      <c r="L116" s="8"/>
      <c r="M116" s="6" t="s">
        <v>129</v>
      </c>
      <c r="N116" s="8"/>
      <c r="O116" s="9" t="s">
        <v>130</v>
      </c>
      <c r="P116" s="8"/>
    </row>
    <row r="117" spans="1:16" ht="18" customHeight="1">
      <c r="A117" s="8" t="s">
        <v>933</v>
      </c>
      <c r="B117" s="8" t="s">
        <v>596</v>
      </c>
      <c r="C117" s="8" t="s">
        <v>934</v>
      </c>
      <c r="D117" s="8" t="s">
        <v>137</v>
      </c>
      <c r="E117" s="2" t="s">
        <v>935</v>
      </c>
      <c r="F117" s="3">
        <f>_xlfn.QUARTILE.INC(SharedData!$E$6:$E$25,3)</f>
        <v>152.5</v>
      </c>
      <c r="G117" s="8"/>
      <c r="H117" s="8"/>
      <c r="I117" s="8"/>
      <c r="J117" s="8"/>
      <c r="K117" s="8"/>
      <c r="L117" s="8"/>
      <c r="M117" s="6" t="s">
        <v>129</v>
      </c>
      <c r="N117" s="3" t="str">
        <f>IF(ISERROR(F117),"ERROR "&amp;IFERROR(ERROR.TYPE(F117),""),"OK")</f>
        <v>OK</v>
      </c>
      <c r="O117" s="9" t="s">
        <v>130</v>
      </c>
      <c r="P117" s="8"/>
    </row>
    <row r="118" spans="1:16" ht="18" customHeight="1">
      <c r="A118" s="8" t="s">
        <v>936</v>
      </c>
      <c r="B118" s="8" t="s">
        <v>596</v>
      </c>
      <c r="C118" s="8" t="s">
        <v>937</v>
      </c>
      <c r="D118" s="8" t="s">
        <v>137</v>
      </c>
      <c r="E118" s="2" t="s">
        <v>938</v>
      </c>
      <c r="F118" s="3">
        <f>RANK(SharedData!$E$10,SharedData!$E$6:$E$25,0)</f>
        <v>16</v>
      </c>
      <c r="G118" s="8"/>
      <c r="H118" s="8"/>
      <c r="I118" s="8"/>
      <c r="J118" s="8"/>
      <c r="K118" s="8"/>
      <c r="L118" s="8"/>
      <c r="M118" s="6" t="s">
        <v>129</v>
      </c>
      <c r="N118" s="8"/>
      <c r="O118" s="9" t="s">
        <v>130</v>
      </c>
      <c r="P118" s="8"/>
    </row>
    <row r="119" spans="1:16" ht="18" customHeight="1">
      <c r="A119" s="8" t="s">
        <v>939</v>
      </c>
      <c r="B119" s="8" t="s">
        <v>596</v>
      </c>
      <c r="C119" s="8" t="s">
        <v>940</v>
      </c>
      <c r="D119" s="8" t="s">
        <v>137</v>
      </c>
      <c r="E119" s="2" t="s">
        <v>941</v>
      </c>
      <c r="F119" s="3">
        <f>_xlfn.RANK.AVG(SharedData!$E$10,SharedData!$E$6:$E$25,0)</f>
        <v>16</v>
      </c>
      <c r="G119" s="8"/>
      <c r="H119" s="8"/>
      <c r="I119" s="8"/>
      <c r="J119" s="8"/>
      <c r="K119" s="8"/>
      <c r="L119" s="8"/>
      <c r="M119" s="6" t="s">
        <v>129</v>
      </c>
      <c r="N119" s="8"/>
      <c r="O119" s="9" t="s">
        <v>130</v>
      </c>
      <c r="P119" s="8"/>
    </row>
    <row r="120" spans="1:16" ht="18" customHeight="1">
      <c r="A120" s="8" t="s">
        <v>942</v>
      </c>
      <c r="B120" s="8" t="s">
        <v>596</v>
      </c>
      <c r="C120" s="8" t="s">
        <v>943</v>
      </c>
      <c r="D120" s="8" t="s">
        <v>137</v>
      </c>
      <c r="E120" s="2" t="s">
        <v>944</v>
      </c>
      <c r="F120" s="3">
        <f>_xlfn.RANK.EQ(SharedData!$E$10,SharedData!$E$6:$E$25,0)</f>
        <v>16</v>
      </c>
      <c r="G120" s="8"/>
      <c r="H120" s="8"/>
      <c r="I120" s="8"/>
      <c r="J120" s="8"/>
      <c r="K120" s="8"/>
      <c r="L120" s="8"/>
      <c r="M120" s="6" t="s">
        <v>129</v>
      </c>
      <c r="N120" s="8"/>
      <c r="O120" s="9" t="s">
        <v>130</v>
      </c>
      <c r="P120" s="8"/>
    </row>
    <row r="121" spans="1:16" ht="18" customHeight="1">
      <c r="A121" s="8" t="s">
        <v>945</v>
      </c>
      <c r="B121" s="8" t="s">
        <v>596</v>
      </c>
      <c r="C121" s="8" t="s">
        <v>946</v>
      </c>
      <c r="D121" s="8" t="s">
        <v>137</v>
      </c>
      <c r="E121" s="2" t="s">
        <v>947</v>
      </c>
      <c r="F121" s="3">
        <f>RSQ(SharedData!$E$6:$E$25,SharedData!$F$6:$F$25)</f>
        <v>5.5596738324684952E-2</v>
      </c>
      <c r="G121" s="8"/>
      <c r="H121" s="8"/>
      <c r="I121" s="8"/>
      <c r="J121" s="8"/>
      <c r="K121" s="8"/>
      <c r="L121" s="8"/>
      <c r="M121" s="6" t="s">
        <v>129</v>
      </c>
      <c r="N121" s="8"/>
      <c r="O121" s="9" t="s">
        <v>130</v>
      </c>
      <c r="P121" s="8"/>
    </row>
    <row r="122" spans="1:16" ht="18" customHeight="1">
      <c r="A122" s="8" t="s">
        <v>948</v>
      </c>
      <c r="B122" s="8" t="s">
        <v>596</v>
      </c>
      <c r="C122" s="8" t="s">
        <v>949</v>
      </c>
      <c r="D122" s="8" t="s">
        <v>133</v>
      </c>
      <c r="E122" s="2" t="s">
        <v>950</v>
      </c>
      <c r="F122" s="3">
        <f>SKEW(SharedData!$E$6:$E$25)</f>
        <v>-1.0388051692399125E-16</v>
      </c>
      <c r="G122" s="8"/>
      <c r="H122" s="8"/>
      <c r="I122" s="8"/>
      <c r="J122" s="8"/>
      <c r="K122" s="8"/>
      <c r="L122" s="8"/>
      <c r="M122" s="6" t="s">
        <v>129</v>
      </c>
      <c r="N122" s="8"/>
      <c r="O122" s="9" t="s">
        <v>130</v>
      </c>
      <c r="P122" s="8"/>
    </row>
    <row r="123" spans="1:16" ht="18" customHeight="1">
      <c r="A123" s="8" t="s">
        <v>951</v>
      </c>
      <c r="B123" s="8" t="s">
        <v>596</v>
      </c>
      <c r="C123" s="8" t="s">
        <v>952</v>
      </c>
      <c r="D123" s="8" t="s">
        <v>133</v>
      </c>
      <c r="E123" s="2" t="s">
        <v>953</v>
      </c>
      <c r="F123" s="3">
        <f>_xlfn.SKEW.P(SharedData!$E$6:$E$25)</f>
        <v>-4.4408920985006264E-17</v>
      </c>
      <c r="G123" s="8"/>
      <c r="H123" s="8"/>
      <c r="I123" s="8"/>
      <c r="J123" s="8"/>
      <c r="K123" s="8"/>
      <c r="L123" s="8"/>
      <c r="M123" s="6" t="s">
        <v>129</v>
      </c>
      <c r="N123" s="8"/>
      <c r="O123" s="9" t="s">
        <v>130</v>
      </c>
      <c r="P123" s="8"/>
    </row>
    <row r="124" spans="1:16" ht="18" customHeight="1">
      <c r="A124" s="8" t="s">
        <v>954</v>
      </c>
      <c r="B124" s="8" t="s">
        <v>596</v>
      </c>
      <c r="C124" s="8" t="s">
        <v>955</v>
      </c>
      <c r="D124" s="8" t="s">
        <v>137</v>
      </c>
      <c r="E124" s="2" t="s">
        <v>956</v>
      </c>
      <c r="F124" s="3">
        <f>SLOPE(SharedData!$E$6:$E$25,SharedData!$F$6:$F$25)</f>
        <v>7.042253521126761</v>
      </c>
      <c r="G124" s="8"/>
      <c r="H124" s="8"/>
      <c r="I124" s="8"/>
      <c r="J124" s="8"/>
      <c r="K124" s="8"/>
      <c r="L124" s="8"/>
      <c r="M124" s="6" t="s">
        <v>129</v>
      </c>
      <c r="N124" s="8"/>
      <c r="O124" s="9" t="s">
        <v>130</v>
      </c>
      <c r="P124" s="8"/>
    </row>
    <row r="125" spans="1:16" ht="18" customHeight="1">
      <c r="A125" s="8" t="s">
        <v>957</v>
      </c>
      <c r="B125" s="8" t="s">
        <v>596</v>
      </c>
      <c r="C125" s="8" t="s">
        <v>958</v>
      </c>
      <c r="D125" s="8" t="s">
        <v>137</v>
      </c>
      <c r="E125" s="2" t="s">
        <v>959</v>
      </c>
      <c r="F125" s="3">
        <f>SMALL(SharedData!$E$6:$E$25,3)</f>
        <v>30</v>
      </c>
      <c r="G125" s="8"/>
      <c r="H125" s="8"/>
      <c r="I125" s="8"/>
      <c r="J125" s="8"/>
      <c r="K125" s="8"/>
      <c r="L125" s="8"/>
      <c r="M125" s="6" t="s">
        <v>129</v>
      </c>
      <c r="N125" s="3" t="str">
        <f>IF(ISERROR(F125),"ERROR "&amp;IFERROR(ERROR.TYPE(F125),""),"OK")</f>
        <v>OK</v>
      </c>
      <c r="O125" s="9" t="s">
        <v>130</v>
      </c>
      <c r="P125" s="3">
        <f>IFERROR(N(F125),0)+IFERROR(N(Arithmetic!$F$113),0)+ROW()/100000</f>
        <v>30.501249999999999</v>
      </c>
    </row>
    <row r="126" spans="1:16" ht="18" customHeight="1">
      <c r="A126" s="8" t="s">
        <v>960</v>
      </c>
      <c r="B126" s="8" t="s">
        <v>596</v>
      </c>
      <c r="C126" s="8" t="s">
        <v>961</v>
      </c>
      <c r="D126" s="8" t="s">
        <v>137</v>
      </c>
      <c r="E126" s="2" t="s">
        <v>962</v>
      </c>
      <c r="F126" s="3">
        <f>STANDARDIZE(105,100,12)</f>
        <v>0.41666666666666669</v>
      </c>
      <c r="G126" s="8"/>
      <c r="H126" s="8"/>
      <c r="I126" s="8"/>
      <c r="J126" s="8"/>
      <c r="K126" s="8"/>
      <c r="L126" s="8"/>
      <c r="M126" s="6" t="s">
        <v>129</v>
      </c>
      <c r="N126" s="8"/>
      <c r="O126" s="9" t="s">
        <v>130</v>
      </c>
      <c r="P126" s="8"/>
    </row>
    <row r="127" spans="1:16" ht="18" customHeight="1">
      <c r="A127" s="8" t="s">
        <v>963</v>
      </c>
      <c r="B127" s="8" t="s">
        <v>596</v>
      </c>
      <c r="C127" s="8" t="s">
        <v>964</v>
      </c>
      <c r="D127" s="8" t="s">
        <v>133</v>
      </c>
      <c r="E127" s="2" t="s">
        <v>965</v>
      </c>
      <c r="F127" s="3">
        <f>STDEV(SharedData!$E$6:$E$25)</f>
        <v>59.16079783099616</v>
      </c>
      <c r="G127" s="8"/>
      <c r="H127" s="8"/>
      <c r="I127" s="8"/>
      <c r="J127" s="8"/>
      <c r="K127" s="8"/>
      <c r="L127" s="8"/>
      <c r="M127" s="6" t="s">
        <v>129</v>
      </c>
      <c r="N127" s="8"/>
      <c r="O127" s="9" t="s">
        <v>130</v>
      </c>
      <c r="P127" s="8"/>
    </row>
    <row r="128" spans="1:16" ht="18" customHeight="1">
      <c r="A128" s="8" t="s">
        <v>966</v>
      </c>
      <c r="B128" s="8" t="s">
        <v>596</v>
      </c>
      <c r="C128" s="8" t="s">
        <v>967</v>
      </c>
      <c r="D128" s="8" t="s">
        <v>133</v>
      </c>
      <c r="E128" s="2" t="s">
        <v>968</v>
      </c>
      <c r="F128" s="3">
        <f>_xlfn.STDEV.P(SharedData!$E$6:$E$25)</f>
        <v>57.662812973353979</v>
      </c>
      <c r="G128" s="8"/>
      <c r="H128" s="8"/>
      <c r="I128" s="8"/>
      <c r="J128" s="8"/>
      <c r="K128" s="8"/>
      <c r="L128" s="8"/>
      <c r="M128" s="6" t="s">
        <v>129</v>
      </c>
      <c r="N128" s="8"/>
      <c r="O128" s="9" t="s">
        <v>130</v>
      </c>
      <c r="P128" s="8"/>
    </row>
    <row r="129" spans="1:16" ht="18" customHeight="1">
      <c r="A129" s="8" t="s">
        <v>969</v>
      </c>
      <c r="B129" s="8" t="s">
        <v>596</v>
      </c>
      <c r="C129" s="8" t="s">
        <v>970</v>
      </c>
      <c r="D129" s="8" t="s">
        <v>133</v>
      </c>
      <c r="E129" s="2" t="s">
        <v>971</v>
      </c>
      <c r="F129" s="3">
        <f>_xlfn.STDEV.S(SharedData!$E$6:$E$25)</f>
        <v>59.16079783099616</v>
      </c>
      <c r="G129" s="8"/>
      <c r="H129" s="8"/>
      <c r="I129" s="8"/>
      <c r="J129" s="8"/>
      <c r="K129" s="8"/>
      <c r="L129" s="8"/>
      <c r="M129" s="6" t="s">
        <v>129</v>
      </c>
      <c r="N129" s="8"/>
      <c r="O129" s="9" t="s">
        <v>130</v>
      </c>
      <c r="P129" s="8"/>
    </row>
    <row r="130" spans="1:16" ht="18" customHeight="1">
      <c r="A130" s="8" t="s">
        <v>972</v>
      </c>
      <c r="B130" s="8" t="s">
        <v>596</v>
      </c>
      <c r="C130" s="8" t="s">
        <v>973</v>
      </c>
      <c r="D130" s="8" t="s">
        <v>133</v>
      </c>
      <c r="E130" s="2" t="s">
        <v>974</v>
      </c>
      <c r="F130" s="3">
        <f>STDEVA(SharedData!$E$6:$E$25)</f>
        <v>59.16079783099616</v>
      </c>
      <c r="G130" s="8"/>
      <c r="H130" s="8"/>
      <c r="I130" s="8"/>
      <c r="J130" s="8"/>
      <c r="K130" s="8"/>
      <c r="L130" s="8"/>
      <c r="M130" s="6" t="s">
        <v>129</v>
      </c>
      <c r="N130" s="8"/>
      <c r="O130" s="9" t="s">
        <v>130</v>
      </c>
      <c r="P130" s="8"/>
    </row>
    <row r="131" spans="1:16" ht="18" customHeight="1">
      <c r="A131" s="8" t="s">
        <v>975</v>
      </c>
      <c r="B131" s="8" t="s">
        <v>596</v>
      </c>
      <c r="C131" s="8" t="s">
        <v>976</v>
      </c>
      <c r="D131" s="8" t="s">
        <v>133</v>
      </c>
      <c r="E131" s="2" t="s">
        <v>977</v>
      </c>
      <c r="F131" s="3">
        <f>STDEVP(SharedData!$E$6:$E$25)</f>
        <v>57.662812973353979</v>
      </c>
      <c r="G131" s="8"/>
      <c r="H131" s="8"/>
      <c r="I131" s="8"/>
      <c r="J131" s="8"/>
      <c r="K131" s="8"/>
      <c r="L131" s="8"/>
      <c r="M131" s="6" t="s">
        <v>129</v>
      </c>
      <c r="N131" s="8"/>
      <c r="O131" s="9" t="s">
        <v>130</v>
      </c>
      <c r="P131" s="8"/>
    </row>
    <row r="132" spans="1:16" ht="18" customHeight="1">
      <c r="A132" s="8" t="s">
        <v>978</v>
      </c>
      <c r="B132" s="8" t="s">
        <v>596</v>
      </c>
      <c r="C132" s="8" t="s">
        <v>979</v>
      </c>
      <c r="D132" s="8" t="s">
        <v>133</v>
      </c>
      <c r="E132" s="2" t="s">
        <v>980</v>
      </c>
      <c r="F132" s="3">
        <f>STDEVPA(SharedData!$E$6:$E$25)</f>
        <v>57.662812973353979</v>
      </c>
      <c r="G132" s="8"/>
      <c r="H132" s="8"/>
      <c r="I132" s="8"/>
      <c r="J132" s="8"/>
      <c r="K132" s="8"/>
      <c r="L132" s="8"/>
      <c r="M132" s="6" t="s">
        <v>129</v>
      </c>
      <c r="N132" s="8"/>
      <c r="O132" s="9" t="s">
        <v>130</v>
      </c>
      <c r="P132" s="8"/>
    </row>
    <row r="133" spans="1:16" ht="18" customHeight="1">
      <c r="A133" s="8" t="s">
        <v>981</v>
      </c>
      <c r="B133" s="8" t="s">
        <v>596</v>
      </c>
      <c r="C133" s="8" t="s">
        <v>982</v>
      </c>
      <c r="D133" s="8" t="s">
        <v>137</v>
      </c>
      <c r="E133" s="2" t="s">
        <v>983</v>
      </c>
      <c r="F133" s="3">
        <f>STEYX(SharedData!$E$6:$E$25,SharedData!$F$6:$F$25)</f>
        <v>59.068141865235447</v>
      </c>
      <c r="G133" s="8"/>
      <c r="H133" s="8"/>
      <c r="I133" s="8"/>
      <c r="J133" s="8"/>
      <c r="K133" s="8"/>
      <c r="L133" s="8"/>
      <c r="M133" s="6" t="s">
        <v>129</v>
      </c>
      <c r="N133" s="3" t="str">
        <f>IF(ISERROR(F133),"ERROR "&amp;IFERROR(ERROR.TYPE(F133),""),"OK")</f>
        <v>OK</v>
      </c>
      <c r="O133" s="9" t="s">
        <v>130</v>
      </c>
      <c r="P133" s="8"/>
    </row>
    <row r="134" spans="1:16" ht="18" customHeight="1">
      <c r="A134" s="8" t="s">
        <v>984</v>
      </c>
      <c r="B134" s="8" t="s">
        <v>596</v>
      </c>
      <c r="C134" s="8" t="s">
        <v>985</v>
      </c>
      <c r="D134" s="8" t="s">
        <v>137</v>
      </c>
      <c r="E134" s="2" t="s">
        <v>986</v>
      </c>
      <c r="F134" s="3">
        <f>_xlfn.T.DIST(1.8,12,TRUE)</f>
        <v>0.95148366102743565</v>
      </c>
      <c r="G134" s="8"/>
      <c r="H134" s="8"/>
      <c r="I134" s="8"/>
      <c r="J134" s="8"/>
      <c r="K134" s="8"/>
      <c r="L134" s="8"/>
      <c r="M134" s="6" t="s">
        <v>129</v>
      </c>
      <c r="N134" s="8"/>
      <c r="O134" s="9" t="s">
        <v>130</v>
      </c>
      <c r="P134" s="8"/>
    </row>
    <row r="135" spans="1:16" ht="18" customHeight="1">
      <c r="A135" s="8" t="s">
        <v>987</v>
      </c>
      <c r="B135" s="8" t="s">
        <v>596</v>
      </c>
      <c r="C135" s="8" t="s">
        <v>988</v>
      </c>
      <c r="D135" s="8" t="s">
        <v>137</v>
      </c>
      <c r="E135" s="2" t="s">
        <v>989</v>
      </c>
      <c r="F135" s="3">
        <f>_xlfn.T.DIST.2T(1.8,12)</f>
        <v>9.7032677945128765E-2</v>
      </c>
      <c r="G135" s="8"/>
      <c r="H135" s="8"/>
      <c r="I135" s="8"/>
      <c r="J135" s="8"/>
      <c r="K135" s="8"/>
      <c r="L135" s="8"/>
      <c r="M135" s="6" t="s">
        <v>129</v>
      </c>
      <c r="N135" s="8"/>
      <c r="O135" s="9" t="s">
        <v>130</v>
      </c>
      <c r="P135" s="8"/>
    </row>
    <row r="136" spans="1:16" ht="18" customHeight="1">
      <c r="A136" s="8" t="s">
        <v>990</v>
      </c>
      <c r="B136" s="8" t="s">
        <v>596</v>
      </c>
      <c r="C136" s="8" t="s">
        <v>991</v>
      </c>
      <c r="D136" s="8" t="s">
        <v>137</v>
      </c>
      <c r="E136" s="2" t="s">
        <v>992</v>
      </c>
      <c r="F136" s="3">
        <f>_xlfn.T.DIST.RT(1.8,12)</f>
        <v>4.8516338972564382E-2</v>
      </c>
      <c r="G136" s="8"/>
      <c r="H136" s="8"/>
      <c r="I136" s="8"/>
      <c r="J136" s="8"/>
      <c r="K136" s="8"/>
      <c r="L136" s="8"/>
      <c r="M136" s="6" t="s">
        <v>129</v>
      </c>
      <c r="N136" s="8"/>
      <c r="O136" s="9" t="s">
        <v>130</v>
      </c>
      <c r="P136" s="8"/>
    </row>
    <row r="137" spans="1:16" ht="18" customHeight="1">
      <c r="A137" s="8" t="s">
        <v>993</v>
      </c>
      <c r="B137" s="8" t="s">
        <v>596</v>
      </c>
      <c r="C137" s="8" t="s">
        <v>994</v>
      </c>
      <c r="D137" s="8" t="s">
        <v>137</v>
      </c>
      <c r="E137" s="2" t="s">
        <v>995</v>
      </c>
      <c r="F137" s="3">
        <f>_xlfn.T.INV(0.9,12)</f>
        <v>1.3562173340232055</v>
      </c>
      <c r="G137" s="8"/>
      <c r="H137" s="8"/>
      <c r="I137" s="8"/>
      <c r="J137" s="8"/>
      <c r="K137" s="8"/>
      <c r="L137" s="8"/>
      <c r="M137" s="6" t="s">
        <v>129</v>
      </c>
      <c r="N137" s="8"/>
      <c r="O137" s="9" t="s">
        <v>130</v>
      </c>
      <c r="P137" s="3">
        <f>IFERROR(N(F137),0)+IFERROR(N(Arithmetic!$F$125),0)+ROW()/100000</f>
        <v>1.8786826395169531</v>
      </c>
    </row>
    <row r="138" spans="1:16" ht="18" customHeight="1">
      <c r="A138" s="8" t="s">
        <v>996</v>
      </c>
      <c r="B138" s="8" t="s">
        <v>596</v>
      </c>
      <c r="C138" s="8" t="s">
        <v>997</v>
      </c>
      <c r="D138" s="8" t="s">
        <v>137</v>
      </c>
      <c r="E138" s="2" t="s">
        <v>998</v>
      </c>
      <c r="F138" s="3">
        <f>_xlfn.T.INV.2T(0.1,12)</f>
        <v>1.7822875556493194</v>
      </c>
      <c r="G138" s="8"/>
      <c r="H138" s="8"/>
      <c r="I138" s="8"/>
      <c r="J138" s="8"/>
      <c r="K138" s="8"/>
      <c r="L138" s="8"/>
      <c r="M138" s="6" t="s">
        <v>129</v>
      </c>
      <c r="N138" s="8"/>
      <c r="O138" s="9" t="s">
        <v>130</v>
      </c>
      <c r="P138" s="8"/>
    </row>
    <row r="139" spans="1:16" ht="18" customHeight="1">
      <c r="A139" s="8" t="s">
        <v>999</v>
      </c>
      <c r="B139" s="8" t="s">
        <v>596</v>
      </c>
      <c r="C139" s="8" t="s">
        <v>1000</v>
      </c>
      <c r="D139" s="8" t="s">
        <v>137</v>
      </c>
      <c r="E139" s="2" t="s">
        <v>1001</v>
      </c>
      <c r="F139" s="3" t="e">
        <f>_xlfn.T.TEST(SharedData!$E$6:$E$15,SharedData!$E$16:$E$25,2,1)</f>
        <v>#DIV/0!</v>
      </c>
      <c r="G139" s="8"/>
      <c r="H139" s="8"/>
      <c r="I139" s="8"/>
      <c r="J139" s="8"/>
      <c r="K139" s="8"/>
      <c r="L139" s="8"/>
      <c r="M139" s="6" t="s">
        <v>129</v>
      </c>
      <c r="N139" s="8"/>
      <c r="O139" s="9" t="s">
        <v>130</v>
      </c>
      <c r="P139" s="8"/>
    </row>
    <row r="140" spans="1:16" ht="18" customHeight="1">
      <c r="A140" s="8" t="s">
        <v>1002</v>
      </c>
      <c r="B140" s="8" t="s">
        <v>596</v>
      </c>
      <c r="C140" s="8" t="s">
        <v>1003</v>
      </c>
      <c r="D140" s="8" t="s">
        <v>137</v>
      </c>
      <c r="E140" s="2" t="s">
        <v>1004</v>
      </c>
      <c r="F140" s="3">
        <f>TDIST(1.8,12,2)</f>
        <v>9.7032677945128765E-2</v>
      </c>
      <c r="G140" s="8"/>
      <c r="H140" s="8"/>
      <c r="I140" s="8"/>
      <c r="J140" s="8"/>
      <c r="K140" s="8"/>
      <c r="L140" s="8"/>
      <c r="M140" s="6" t="s">
        <v>129</v>
      </c>
      <c r="N140" s="8"/>
      <c r="O140" s="9" t="s">
        <v>130</v>
      </c>
      <c r="P140" s="8"/>
    </row>
    <row r="141" spans="1:16" ht="18" customHeight="1">
      <c r="A141" s="8" t="s">
        <v>1005</v>
      </c>
      <c r="B141" s="8" t="s">
        <v>596</v>
      </c>
      <c r="C141" s="8" t="s">
        <v>1006</v>
      </c>
      <c r="D141" s="8" t="s">
        <v>137</v>
      </c>
      <c r="E141" s="2" t="s">
        <v>1007</v>
      </c>
      <c r="F141" s="3">
        <f>TINV(0.1,12)</f>
        <v>1.7822875556493194</v>
      </c>
      <c r="G141" s="8"/>
      <c r="H141" s="8"/>
      <c r="I141" s="8"/>
      <c r="J141" s="8"/>
      <c r="K141" s="8"/>
      <c r="L141" s="8"/>
      <c r="M141" s="6" t="s">
        <v>129</v>
      </c>
      <c r="N141" s="3" t="str">
        <f>IF(ISERROR(F141),"ERROR "&amp;IFERROR(ERROR.TYPE(F141),""),"OK")</f>
        <v>OK</v>
      </c>
      <c r="O141" s="9" t="s">
        <v>130</v>
      </c>
      <c r="P141" s="8"/>
    </row>
    <row r="142" spans="1:16" ht="18" customHeight="1">
      <c r="A142" s="8" t="s">
        <v>1008</v>
      </c>
      <c r="B142" s="8" t="s">
        <v>596</v>
      </c>
      <c r="C142" s="8" t="s">
        <v>1009</v>
      </c>
      <c r="D142" s="8" t="s">
        <v>137</v>
      </c>
      <c r="E142" s="2" t="s">
        <v>1010</v>
      </c>
      <c r="F142" s="3">
        <f>TRIMMEAN(SharedData!$E$6:$E$25,0.2)</f>
        <v>105</v>
      </c>
      <c r="G142" s="8"/>
      <c r="H142" s="8"/>
      <c r="I142" s="8"/>
      <c r="J142" s="8"/>
      <c r="K142" s="8"/>
      <c r="L142" s="8"/>
      <c r="M142" s="6" t="s">
        <v>129</v>
      </c>
      <c r="N142" s="8"/>
      <c r="O142" s="9" t="s">
        <v>130</v>
      </c>
      <c r="P142" s="8"/>
    </row>
    <row r="143" spans="1:16" ht="18" customHeight="1">
      <c r="A143" s="8" t="s">
        <v>1011</v>
      </c>
      <c r="B143" s="8" t="s">
        <v>596</v>
      </c>
      <c r="C143" s="8" t="s">
        <v>1012</v>
      </c>
      <c r="D143" s="8" t="s">
        <v>137</v>
      </c>
      <c r="E143" s="2" t="s">
        <v>1013</v>
      </c>
      <c r="F143" s="3" t="e">
        <f>TTEST(SharedData!$E$6:$E$15,SharedData!$E$16:$E$25,2,1)</f>
        <v>#DIV/0!</v>
      </c>
      <c r="G143" s="8"/>
      <c r="H143" s="8"/>
      <c r="I143" s="8"/>
      <c r="J143" s="8"/>
      <c r="K143" s="8"/>
      <c r="L143" s="8"/>
      <c r="M143" s="6" t="s">
        <v>129</v>
      </c>
      <c r="N143" s="8"/>
      <c r="O143" s="9" t="s">
        <v>130</v>
      </c>
      <c r="P143" s="8"/>
    </row>
    <row r="144" spans="1:16" ht="18" customHeight="1">
      <c r="A144" s="8" t="s">
        <v>1014</v>
      </c>
      <c r="B144" s="8" t="s">
        <v>596</v>
      </c>
      <c r="C144" s="8" t="s">
        <v>1015</v>
      </c>
      <c r="D144" s="8" t="s">
        <v>133</v>
      </c>
      <c r="E144" s="2" t="s">
        <v>1016</v>
      </c>
      <c r="F144" s="3">
        <f>VAR(SharedData!$E$6:$E$25)</f>
        <v>3500</v>
      </c>
      <c r="G144" s="8"/>
      <c r="H144" s="8"/>
      <c r="I144" s="8"/>
      <c r="J144" s="8"/>
      <c r="K144" s="8"/>
      <c r="L144" s="8"/>
      <c r="M144" s="6" t="s">
        <v>129</v>
      </c>
      <c r="N144" s="8"/>
      <c r="O144" s="9" t="s">
        <v>130</v>
      </c>
      <c r="P144" s="8"/>
    </row>
    <row r="145" spans="1:16" ht="18" customHeight="1">
      <c r="A145" s="8" t="s">
        <v>1017</v>
      </c>
      <c r="B145" s="8" t="s">
        <v>596</v>
      </c>
      <c r="C145" s="8" t="s">
        <v>1018</v>
      </c>
      <c r="D145" s="8" t="s">
        <v>133</v>
      </c>
      <c r="E145" s="2" t="s">
        <v>1019</v>
      </c>
      <c r="F145" s="3">
        <f>_xlfn.VAR.P(SharedData!$E$6:$E$25)</f>
        <v>3325</v>
      </c>
      <c r="G145" s="8"/>
      <c r="H145" s="8"/>
      <c r="I145" s="8"/>
      <c r="J145" s="8"/>
      <c r="K145" s="8"/>
      <c r="L145" s="8"/>
      <c r="M145" s="6" t="s">
        <v>129</v>
      </c>
      <c r="N145" s="8"/>
      <c r="O145" s="9" t="s">
        <v>130</v>
      </c>
      <c r="P145" s="8"/>
    </row>
    <row r="146" spans="1:16" ht="18" customHeight="1">
      <c r="A146" s="8" t="s">
        <v>1020</v>
      </c>
      <c r="B146" s="8" t="s">
        <v>596</v>
      </c>
      <c r="C146" s="8" t="s">
        <v>1021</v>
      </c>
      <c r="D146" s="8" t="s">
        <v>133</v>
      </c>
      <c r="E146" s="2" t="s">
        <v>1022</v>
      </c>
      <c r="F146" s="3">
        <f>_xlfn.VAR.S(SharedData!$E$6:$E$25)</f>
        <v>3500</v>
      </c>
      <c r="G146" s="8"/>
      <c r="H146" s="8"/>
      <c r="I146" s="8"/>
      <c r="J146" s="8"/>
      <c r="K146" s="8"/>
      <c r="L146" s="8"/>
      <c r="M146" s="6" t="s">
        <v>129</v>
      </c>
      <c r="N146" s="8"/>
      <c r="O146" s="9" t="s">
        <v>130</v>
      </c>
      <c r="P146" s="8"/>
    </row>
    <row r="147" spans="1:16" ht="18" customHeight="1">
      <c r="A147" s="8" t="s">
        <v>1023</v>
      </c>
      <c r="B147" s="8" t="s">
        <v>596</v>
      </c>
      <c r="C147" s="8" t="s">
        <v>1024</v>
      </c>
      <c r="D147" s="8" t="s">
        <v>133</v>
      </c>
      <c r="E147" s="2" t="s">
        <v>1025</v>
      </c>
      <c r="F147" s="3">
        <f>VARA(SharedData!$E$6:$E$25)</f>
        <v>3500</v>
      </c>
      <c r="G147" s="8"/>
      <c r="H147" s="8"/>
      <c r="I147" s="8"/>
      <c r="J147" s="8"/>
      <c r="K147" s="8"/>
      <c r="L147" s="8"/>
      <c r="M147" s="6" t="s">
        <v>129</v>
      </c>
      <c r="N147" s="8"/>
      <c r="O147" s="9" t="s">
        <v>130</v>
      </c>
      <c r="P147" s="8"/>
    </row>
    <row r="148" spans="1:16" ht="18" customHeight="1">
      <c r="A148" s="8" t="s">
        <v>1026</v>
      </c>
      <c r="B148" s="8" t="s">
        <v>596</v>
      </c>
      <c r="C148" s="8" t="s">
        <v>1027</v>
      </c>
      <c r="D148" s="8" t="s">
        <v>133</v>
      </c>
      <c r="E148" s="2" t="s">
        <v>1028</v>
      </c>
      <c r="F148" s="3">
        <f>VARP(SharedData!$E$6:$E$25)</f>
        <v>3325</v>
      </c>
      <c r="G148" s="8"/>
      <c r="H148" s="8"/>
      <c r="I148" s="8"/>
      <c r="J148" s="8"/>
      <c r="K148" s="8"/>
      <c r="L148" s="8"/>
      <c r="M148" s="6" t="s">
        <v>129</v>
      </c>
      <c r="N148" s="8"/>
      <c r="O148" s="9" t="s">
        <v>130</v>
      </c>
      <c r="P148" s="8"/>
    </row>
    <row r="149" spans="1:16" ht="18" customHeight="1">
      <c r="A149" s="8" t="s">
        <v>1029</v>
      </c>
      <c r="B149" s="8" t="s">
        <v>596</v>
      </c>
      <c r="C149" s="8" t="s">
        <v>1030</v>
      </c>
      <c r="D149" s="8" t="s">
        <v>133</v>
      </c>
      <c r="E149" s="2" t="s">
        <v>1031</v>
      </c>
      <c r="F149" s="3">
        <f>VARPA(SharedData!$E$6:$E$25)</f>
        <v>3325</v>
      </c>
      <c r="G149" s="8"/>
      <c r="H149" s="8"/>
      <c r="I149" s="8"/>
      <c r="J149" s="8"/>
      <c r="K149" s="8"/>
      <c r="L149" s="8"/>
      <c r="M149" s="6" t="s">
        <v>129</v>
      </c>
      <c r="N149" s="3" t="str">
        <f>IF(ISERROR(F149),"ERROR "&amp;IFERROR(ERROR.TYPE(F149),""),"OK")</f>
        <v>OK</v>
      </c>
      <c r="O149" s="9" t="s">
        <v>130</v>
      </c>
      <c r="P149" s="3">
        <f>IFERROR(N(F149),0)+IFERROR(N(Arithmetic!$F$137),0)+ROW()/100000</f>
        <v>3325.5477924898437</v>
      </c>
    </row>
    <row r="150" spans="1:16" ht="18" customHeight="1">
      <c r="A150" s="8" t="s">
        <v>1032</v>
      </c>
      <c r="B150" s="8" t="s">
        <v>596</v>
      </c>
      <c r="C150" s="8" t="s">
        <v>1033</v>
      </c>
      <c r="D150" s="8" t="s">
        <v>137</v>
      </c>
      <c r="E150" s="2" t="s">
        <v>1034</v>
      </c>
      <c r="F150" s="3">
        <f>WEIBULL(105,20,100,TRUE)</f>
        <v>0.92958139006927698</v>
      </c>
      <c r="G150" s="8"/>
      <c r="H150" s="8"/>
      <c r="I150" s="8"/>
      <c r="J150" s="8"/>
      <c r="K150" s="8"/>
      <c r="L150" s="8"/>
      <c r="M150" s="6" t="s">
        <v>129</v>
      </c>
      <c r="N150" s="8"/>
      <c r="O150" s="9" t="s">
        <v>130</v>
      </c>
      <c r="P150" s="8"/>
    </row>
    <row r="151" spans="1:16" ht="18" customHeight="1">
      <c r="A151" s="8" t="s">
        <v>1035</v>
      </c>
      <c r="B151" s="8" t="s">
        <v>596</v>
      </c>
      <c r="C151" s="8" t="s">
        <v>1036</v>
      </c>
      <c r="D151" s="8" t="s">
        <v>137</v>
      </c>
      <c r="E151" s="2" t="s">
        <v>1037</v>
      </c>
      <c r="F151" s="3">
        <f>_xlfn.WEIBULL.DIST(105,20,100,TRUE)</f>
        <v>0.92958139006927698</v>
      </c>
      <c r="G151" s="8"/>
      <c r="H151" s="8"/>
      <c r="I151" s="8"/>
      <c r="J151" s="8"/>
      <c r="K151" s="8"/>
      <c r="L151" s="8"/>
      <c r="M151" s="6" t="s">
        <v>129</v>
      </c>
      <c r="N151" s="8"/>
      <c r="O151" s="9" t="s">
        <v>130</v>
      </c>
      <c r="P151" s="8"/>
    </row>
    <row r="152" spans="1:16" ht="18" customHeight="1">
      <c r="A152" s="8" t="s">
        <v>1038</v>
      </c>
      <c r="B152" s="8" t="s">
        <v>596</v>
      </c>
      <c r="C152" s="8" t="s">
        <v>1039</v>
      </c>
      <c r="D152" s="8" t="s">
        <v>137</v>
      </c>
      <c r="E152" s="2" t="s">
        <v>1040</v>
      </c>
      <c r="F152" s="3">
        <f>_xlfn.Z.TEST(SharedData!$E$6:$E$25,100)</f>
        <v>0.35272849305563669</v>
      </c>
      <c r="G152" s="8"/>
      <c r="H152" s="8"/>
      <c r="I152" s="8"/>
      <c r="J152" s="8"/>
      <c r="K152" s="8"/>
      <c r="L152" s="8"/>
      <c r="M152" s="6" t="s">
        <v>129</v>
      </c>
      <c r="N152" s="8"/>
      <c r="O152" s="9" t="s">
        <v>130</v>
      </c>
      <c r="P152" s="8"/>
    </row>
    <row r="153" spans="1:16" ht="18" customHeight="1">
      <c r="A153" s="8" t="s">
        <v>1041</v>
      </c>
      <c r="B153" s="8" t="s">
        <v>596</v>
      </c>
      <c r="C153" s="8" t="s">
        <v>1042</v>
      </c>
      <c r="D153" s="8" t="s">
        <v>137</v>
      </c>
      <c r="E153" s="2" t="s">
        <v>1043</v>
      </c>
      <c r="F153" s="3">
        <f>ZTEST(SharedData!$E$6:$E$25,100)</f>
        <v>0.35272849305563669</v>
      </c>
      <c r="G153" s="8"/>
      <c r="H153" s="8"/>
      <c r="I153" s="8"/>
      <c r="J153" s="8"/>
      <c r="K153" s="8"/>
      <c r="L153" s="8"/>
      <c r="M153" s="6" t="s">
        <v>129</v>
      </c>
      <c r="N153" s="8"/>
      <c r="O153" s="9" t="s">
        <v>130</v>
      </c>
      <c r="P153" s="8"/>
    </row>
    <row r="154" spans="1:16" ht="18" customHeight="1">
      <c r="A154" s="8" t="s">
        <v>1044</v>
      </c>
      <c r="B154" s="8" t="s">
        <v>537</v>
      </c>
      <c r="C154" s="8" t="s">
        <v>538</v>
      </c>
      <c r="D154" s="8" t="s">
        <v>539</v>
      </c>
      <c r="E154" s="2" t="s">
        <v>505</v>
      </c>
      <c r="F154" s="3">
        <f>SUM(SharedData!$E$6:$E$25)</f>
        <v>2100</v>
      </c>
      <c r="G154" s="8"/>
      <c r="H154" s="8"/>
      <c r="I154" s="8"/>
      <c r="J154" s="8"/>
      <c r="K154" s="8"/>
      <c r="L154" s="8"/>
      <c r="M154" s="6" t="s">
        <v>129</v>
      </c>
      <c r="N154" s="8"/>
      <c r="O154" s="9" t="s">
        <v>541</v>
      </c>
      <c r="P154" s="8"/>
    </row>
    <row r="155" spans="1:16" ht="18" customHeight="1">
      <c r="A155" s="8" t="s">
        <v>1045</v>
      </c>
      <c r="B155" s="8" t="s">
        <v>537</v>
      </c>
      <c r="C155" s="8" t="s">
        <v>538</v>
      </c>
      <c r="D155" s="8" t="s">
        <v>539</v>
      </c>
      <c r="E155" s="2" t="s">
        <v>1046</v>
      </c>
      <c r="F155" s="3">
        <f>SUMPRODUCT(SharedData!$E$6:$E$25)</f>
        <v>2100</v>
      </c>
      <c r="G155" s="8"/>
      <c r="H155" s="8"/>
      <c r="I155" s="8"/>
      <c r="J155" s="8"/>
      <c r="K155" s="8"/>
      <c r="L155" s="8"/>
      <c r="M155" s="6" t="s">
        <v>129</v>
      </c>
      <c r="N155" s="8"/>
      <c r="O155" s="9" t="s">
        <v>541</v>
      </c>
      <c r="P155" s="8"/>
    </row>
    <row r="156" spans="1:16" ht="18" customHeight="1">
      <c r="A156" s="8" t="s">
        <v>1047</v>
      </c>
      <c r="B156" s="8" t="s">
        <v>537</v>
      </c>
      <c r="C156" s="8" t="s">
        <v>538</v>
      </c>
      <c r="D156" s="8" t="s">
        <v>539</v>
      </c>
      <c r="E156" s="2" t="s">
        <v>1048</v>
      </c>
      <c r="F156" s="3">
        <f>SUBTOTAL(9,SharedData!$E$6:$E$25)</f>
        <v>2100</v>
      </c>
      <c r="G156" s="8"/>
      <c r="H156" s="8"/>
      <c r="I156" s="8"/>
      <c r="J156" s="8"/>
      <c r="K156" s="8"/>
      <c r="L156" s="8"/>
      <c r="M156" s="6" t="s">
        <v>129</v>
      </c>
      <c r="N156" s="8"/>
      <c r="O156" s="9" t="s">
        <v>541</v>
      </c>
      <c r="P156" s="8"/>
    </row>
    <row r="157" spans="1:16" ht="18" customHeight="1">
      <c r="A157" s="8" t="s">
        <v>1049</v>
      </c>
      <c r="B157" s="8" t="s">
        <v>537</v>
      </c>
      <c r="C157" s="8" t="s">
        <v>538</v>
      </c>
      <c r="D157" s="8" t="s">
        <v>539</v>
      </c>
      <c r="E157" s="2" t="s">
        <v>502</v>
      </c>
      <c r="F157" s="3">
        <f>SUBTOTAL(109,SharedData!$E$6:$E$25)</f>
        <v>2100</v>
      </c>
      <c r="G157" s="8"/>
      <c r="H157" s="8"/>
      <c r="I157" s="8"/>
      <c r="J157" s="8"/>
      <c r="K157" s="8"/>
      <c r="L157" s="8"/>
      <c r="M157" s="6" t="s">
        <v>129</v>
      </c>
      <c r="N157" s="3" t="str">
        <f>IF(ISERROR(F157),"ERROR "&amp;IFERROR(ERROR.TYPE(F157),""),"OK")</f>
        <v>OK</v>
      </c>
      <c r="O157" s="9" t="s">
        <v>541</v>
      </c>
      <c r="P157" s="8"/>
    </row>
    <row r="158" spans="1:16" ht="18" customHeight="1">
      <c r="A158" s="8" t="s">
        <v>1050</v>
      </c>
      <c r="B158" s="8" t="s">
        <v>537</v>
      </c>
      <c r="C158" s="8" t="s">
        <v>538</v>
      </c>
      <c r="D158" s="8" t="s">
        <v>539</v>
      </c>
      <c r="E158" s="2" t="s">
        <v>1051</v>
      </c>
      <c r="F158" s="3">
        <f>SUMSQ(SharedData!$E$6:$E$25)</f>
        <v>287000</v>
      </c>
      <c r="G158" s="8"/>
      <c r="H158" s="8"/>
      <c r="I158" s="8"/>
      <c r="J158" s="8"/>
      <c r="K158" s="8"/>
      <c r="L158" s="8"/>
      <c r="M158" s="6" t="s">
        <v>129</v>
      </c>
      <c r="N158" s="8"/>
      <c r="O158" s="9" t="s">
        <v>541</v>
      </c>
      <c r="P158" s="8"/>
    </row>
    <row r="159" spans="1:16" ht="18" customHeight="1">
      <c r="A159" s="8" t="s">
        <v>1052</v>
      </c>
      <c r="B159" s="8" t="s">
        <v>537</v>
      </c>
      <c r="C159" s="8" t="s">
        <v>538</v>
      </c>
      <c r="D159" s="8" t="s">
        <v>539</v>
      </c>
      <c r="E159" s="2" t="s">
        <v>508</v>
      </c>
      <c r="F159" s="3">
        <f>SUMIF(SharedData!$C$6:$C$25,"A",SharedData!$E$6:$E$25)</f>
        <v>700</v>
      </c>
      <c r="G159" s="8"/>
      <c r="H159" s="8"/>
      <c r="I159" s="8"/>
      <c r="J159" s="8"/>
      <c r="K159" s="8"/>
      <c r="L159" s="8"/>
      <c r="M159" s="6" t="s">
        <v>129</v>
      </c>
      <c r="N159" s="8"/>
      <c r="O159" s="9" t="s">
        <v>541</v>
      </c>
      <c r="P159" s="8"/>
    </row>
    <row r="160" spans="1:16" ht="18" customHeight="1">
      <c r="A160" s="8" t="s">
        <v>1053</v>
      </c>
      <c r="B160" s="8" t="s">
        <v>537</v>
      </c>
      <c r="C160" s="8" t="s">
        <v>538</v>
      </c>
      <c r="D160" s="8" t="s">
        <v>539</v>
      </c>
      <c r="E160" s="2" t="s">
        <v>1054</v>
      </c>
      <c r="F160" s="3">
        <f>SUMIFS(SharedData!$E$6:$E$25,SharedData!$C$6:$C$25,"A",SharedData!$D$6:$D$25,"&gt;="&amp;DATE(2020,1,1))</f>
        <v>700</v>
      </c>
      <c r="G160" s="8"/>
      <c r="H160" s="8"/>
      <c r="I160" s="8"/>
      <c r="J160" s="8"/>
      <c r="K160" s="8"/>
      <c r="L160" s="8"/>
      <c r="M160" s="6" t="s">
        <v>129</v>
      </c>
      <c r="N160" s="8"/>
      <c r="O160" s="9" t="s">
        <v>541</v>
      </c>
      <c r="P160" s="8"/>
    </row>
    <row r="161" spans="1:16" ht="18" customHeight="1">
      <c r="A161" s="8" t="s">
        <v>1055</v>
      </c>
      <c r="B161" s="8" t="s">
        <v>537</v>
      </c>
      <c r="C161" s="8" t="s">
        <v>538</v>
      </c>
      <c r="D161" s="8" t="s">
        <v>539</v>
      </c>
      <c r="E161" s="2" t="s">
        <v>1056</v>
      </c>
      <c r="F161" s="3">
        <f>AVERAGEIFS(SharedData!$E$6:$E$25,SharedData!$G$6:$G$25,TRUE,SharedData!$F$6:$F$25,"&gt;5")</f>
        <v>100</v>
      </c>
      <c r="G161" s="8"/>
      <c r="H161" s="8"/>
      <c r="I161" s="8"/>
      <c r="J161" s="8"/>
      <c r="K161" s="8"/>
      <c r="L161" s="8"/>
      <c r="M161" s="6" t="s">
        <v>129</v>
      </c>
      <c r="N161" s="8"/>
      <c r="O161" s="9" t="s">
        <v>541</v>
      </c>
      <c r="P161" s="3">
        <f>IFERROR(N(F161),0)+IFERROR(N(Arithmetic!$F$149),0)+ROW()/100000</f>
        <v>100.00161</v>
      </c>
    </row>
    <row r="162" spans="1:16" ht="18" customHeight="1">
      <c r="A162" s="8" t="s">
        <v>1057</v>
      </c>
      <c r="B162" s="8" t="s">
        <v>537</v>
      </c>
      <c r="C162" s="8" t="s">
        <v>538</v>
      </c>
      <c r="D162" s="8" t="s">
        <v>539</v>
      </c>
      <c r="E162" s="2" t="s">
        <v>1058</v>
      </c>
      <c r="F162" s="3">
        <f>SUM(SharedData!$O$40:$O$45)</f>
        <v>0</v>
      </c>
      <c r="G162" s="8"/>
      <c r="H162" s="8"/>
      <c r="I162" s="8"/>
      <c r="J162" s="8"/>
      <c r="K162" s="8"/>
      <c r="L162" s="8"/>
      <c r="M162" s="6" t="s">
        <v>129</v>
      </c>
      <c r="N162" s="8"/>
      <c r="O162" s="9" t="s">
        <v>541</v>
      </c>
      <c r="P162" s="8"/>
    </row>
    <row r="163" spans="1:16" ht="18" customHeight="1">
      <c r="A163" s="8" t="s">
        <v>1059</v>
      </c>
      <c r="B163" s="8" t="s">
        <v>537</v>
      </c>
      <c r="C163" s="8" t="s">
        <v>538</v>
      </c>
      <c r="D163" s="8" t="s">
        <v>539</v>
      </c>
      <c r="E163" s="2" t="s">
        <v>1060</v>
      </c>
      <c r="F163" s="3" t="e">
        <f>AVERAGE(SharedData!$O$40:$O$45)</f>
        <v>#DIV/0!</v>
      </c>
      <c r="G163" s="8"/>
      <c r="H163" s="8"/>
      <c r="I163" s="8"/>
      <c r="J163" s="8"/>
      <c r="K163" s="8"/>
      <c r="L163" s="8"/>
      <c r="M163" s="6" t="s">
        <v>129</v>
      </c>
      <c r="N163" s="8"/>
      <c r="O163" s="9" t="s">
        <v>541</v>
      </c>
      <c r="P163" s="8"/>
    </row>
    <row r="164" spans="1:16" ht="18" customHeight="1">
      <c r="A164" s="8" t="s">
        <v>1061</v>
      </c>
      <c r="B164" s="8" t="s">
        <v>537</v>
      </c>
      <c r="C164" s="8" t="s">
        <v>538</v>
      </c>
      <c r="D164" s="8" t="s">
        <v>539</v>
      </c>
      <c r="E164" s="2" t="s">
        <v>1062</v>
      </c>
      <c r="F164" s="3">
        <f>COUNT(SharedData!$O$40:$O$45)</f>
        <v>0</v>
      </c>
      <c r="G164" s="8"/>
      <c r="H164" s="8"/>
      <c r="I164" s="8"/>
      <c r="J164" s="8"/>
      <c r="K164" s="8"/>
      <c r="L164" s="8"/>
      <c r="M164" s="6" t="s">
        <v>129</v>
      </c>
      <c r="N164" s="8"/>
      <c r="O164" s="9" t="s">
        <v>541</v>
      </c>
      <c r="P164" s="8"/>
    </row>
    <row r="165" spans="1:16" ht="18" customHeight="1">
      <c r="A165" s="8" t="s">
        <v>1063</v>
      </c>
      <c r="B165" s="8" t="s">
        <v>537</v>
      </c>
      <c r="C165" s="8" t="s">
        <v>538</v>
      </c>
      <c r="D165" s="8" t="s">
        <v>539</v>
      </c>
      <c r="E165" s="2" t="s">
        <v>1064</v>
      </c>
      <c r="F165" s="3">
        <f>MAX(SharedData!$O$40:$O$45)</f>
        <v>0</v>
      </c>
      <c r="G165" s="8"/>
      <c r="H165" s="8"/>
      <c r="I165" s="8"/>
      <c r="J165" s="8"/>
      <c r="K165" s="8"/>
      <c r="L165" s="8"/>
      <c r="M165" s="6" t="s">
        <v>129</v>
      </c>
      <c r="N165" s="3" t="str">
        <f>IF(ISERROR(F165),"ERROR "&amp;IFERROR(ERROR.TYPE(F165),""),"OK")</f>
        <v>OK</v>
      </c>
      <c r="O165" s="9" t="s">
        <v>541</v>
      </c>
      <c r="P165" s="8"/>
    </row>
    <row r="166" spans="1:16" ht="18" customHeight="1">
      <c r="A166" s="8" t="s">
        <v>1065</v>
      </c>
      <c r="B166" s="8" t="s">
        <v>537</v>
      </c>
      <c r="C166" s="8" t="s">
        <v>538</v>
      </c>
      <c r="D166" s="8" t="s">
        <v>539</v>
      </c>
      <c r="E166" s="2" t="s">
        <v>1066</v>
      </c>
      <c r="F166" s="3">
        <f>MIN(SharedData!$O$40:$O$45)</f>
        <v>0</v>
      </c>
      <c r="G166" s="8"/>
      <c r="H166" s="8"/>
      <c r="I166" s="8"/>
      <c r="J166" s="8"/>
      <c r="K166" s="8"/>
      <c r="L166" s="8"/>
      <c r="M166" s="6" t="s">
        <v>129</v>
      </c>
      <c r="N166" s="8"/>
      <c r="O166" s="9" t="s">
        <v>541</v>
      </c>
      <c r="P166" s="8"/>
    </row>
    <row r="167" spans="1:16" ht="18" customHeight="1">
      <c r="A167" s="8" t="s">
        <v>1067</v>
      </c>
      <c r="B167" s="8" t="s">
        <v>537</v>
      </c>
      <c r="C167" s="8" t="s">
        <v>538</v>
      </c>
      <c r="D167" s="8" t="s">
        <v>539</v>
      </c>
      <c r="E167" s="2" t="s">
        <v>1068</v>
      </c>
      <c r="F167" s="3">
        <f>SUBTOTAL(109,SharedData!$O$40:$O$45)</f>
        <v>0</v>
      </c>
      <c r="G167" s="8"/>
      <c r="H167" s="8"/>
      <c r="I167" s="8"/>
      <c r="J167" s="8"/>
      <c r="K167" s="8"/>
      <c r="L167" s="8"/>
      <c r="M167" s="6" t="s">
        <v>129</v>
      </c>
      <c r="N167" s="8"/>
      <c r="O167" s="9" t="s">
        <v>541</v>
      </c>
      <c r="P167" s="8"/>
    </row>
    <row r="168" spans="1:16" ht="18" customHeight="1">
      <c r="A168" s="8" t="s">
        <v>1069</v>
      </c>
      <c r="B168" s="8" t="s">
        <v>537</v>
      </c>
      <c r="C168" s="8" t="s">
        <v>538</v>
      </c>
      <c r="D168" s="8" t="s">
        <v>539</v>
      </c>
      <c r="E168" s="2" t="s">
        <v>1070</v>
      </c>
      <c r="F168" s="3">
        <f>SUMPRODUCT(SharedData!$O$40:$O$45)</f>
        <v>0</v>
      </c>
      <c r="G168" s="8"/>
      <c r="H168" s="8"/>
      <c r="I168" s="8"/>
      <c r="J168" s="8"/>
      <c r="K168" s="8"/>
      <c r="L168" s="8"/>
      <c r="M168" s="6" t="s">
        <v>129</v>
      </c>
      <c r="N168" s="8"/>
      <c r="O168" s="9" t="s">
        <v>541</v>
      </c>
      <c r="P168" s="8"/>
    </row>
    <row r="169" spans="1:16" ht="18" customHeight="1">
      <c r="A169" s="8" t="s">
        <v>1071</v>
      </c>
      <c r="B169" s="8" t="s">
        <v>537</v>
      </c>
      <c r="C169" s="8" t="s">
        <v>538</v>
      </c>
      <c r="D169" s="8" t="s">
        <v>539</v>
      </c>
      <c r="E169" s="2" t="s">
        <v>1072</v>
      </c>
      <c r="F169" s="3">
        <f>SUM(SharedData!$H$6:$H$25)</f>
        <v>-2</v>
      </c>
      <c r="G169" s="8"/>
      <c r="H169" s="8"/>
      <c r="I169" s="8"/>
      <c r="J169" s="8"/>
      <c r="K169" s="8"/>
      <c r="L169" s="8"/>
      <c r="M169" s="6" t="s">
        <v>129</v>
      </c>
      <c r="N169" s="8"/>
      <c r="O169" s="9" t="s">
        <v>541</v>
      </c>
      <c r="P169" s="8"/>
    </row>
    <row r="170" spans="1:16" ht="18" customHeight="1">
      <c r="A170" s="8" t="s">
        <v>1073</v>
      </c>
      <c r="B170" s="8" t="s">
        <v>537</v>
      </c>
      <c r="C170" s="8" t="s">
        <v>538</v>
      </c>
      <c r="D170" s="8" t="s">
        <v>539</v>
      </c>
      <c r="E170" s="2" t="s">
        <v>1074</v>
      </c>
      <c r="F170" s="3">
        <f>AVERAGE(SharedData!$H$6:$H$25)</f>
        <v>-0.5</v>
      </c>
      <c r="G170" s="8"/>
      <c r="H170" s="8"/>
      <c r="I170" s="8"/>
      <c r="J170" s="8"/>
      <c r="K170" s="8"/>
      <c r="L170" s="8"/>
      <c r="M170" s="6" t="s">
        <v>129</v>
      </c>
      <c r="N170" s="8"/>
      <c r="O170" s="9" t="s">
        <v>541</v>
      </c>
      <c r="P170" s="8"/>
    </row>
    <row r="171" spans="1:16" ht="18" customHeight="1">
      <c r="A171" s="8" t="s">
        <v>1075</v>
      </c>
      <c r="B171" s="8" t="s">
        <v>537</v>
      </c>
      <c r="C171" s="8" t="s">
        <v>538</v>
      </c>
      <c r="D171" s="8" t="s">
        <v>539</v>
      </c>
      <c r="E171" s="2" t="s">
        <v>1076</v>
      </c>
      <c r="F171" s="3">
        <f>COUNT(SharedData!$H$6:$H$25)</f>
        <v>4</v>
      </c>
      <c r="G171" s="8"/>
      <c r="H171" s="8"/>
      <c r="I171" s="8"/>
      <c r="J171" s="8"/>
      <c r="K171" s="8"/>
      <c r="L171" s="8"/>
      <c r="M171" s="6" t="s">
        <v>129</v>
      </c>
      <c r="N171" s="8"/>
      <c r="O171" s="9" t="s">
        <v>541</v>
      </c>
      <c r="P171" s="8"/>
    </row>
    <row r="172" spans="1:16" ht="18" customHeight="1">
      <c r="A172" s="8" t="s">
        <v>1077</v>
      </c>
      <c r="B172" s="8" t="s">
        <v>537</v>
      </c>
      <c r="C172" s="8" t="s">
        <v>538</v>
      </c>
      <c r="D172" s="8" t="s">
        <v>539</v>
      </c>
      <c r="E172" s="2" t="s">
        <v>1078</v>
      </c>
      <c r="F172" s="3">
        <f>COUNTA(SharedData!$H$6:$H$25)</f>
        <v>16</v>
      </c>
      <c r="G172" s="8"/>
      <c r="H172" s="8"/>
      <c r="I172" s="8"/>
      <c r="J172" s="8"/>
      <c r="K172" s="8"/>
      <c r="L172" s="8"/>
      <c r="M172" s="6" t="s">
        <v>129</v>
      </c>
      <c r="N172" s="8"/>
      <c r="O172" s="9" t="s">
        <v>541</v>
      </c>
      <c r="P172" s="8"/>
    </row>
    <row r="173" spans="1:16" ht="18" customHeight="1">
      <c r="A173" s="8" t="s">
        <v>1079</v>
      </c>
      <c r="B173" s="8" t="s">
        <v>537</v>
      </c>
      <c r="C173" s="8" t="s">
        <v>538</v>
      </c>
      <c r="D173" s="8" t="s">
        <v>539</v>
      </c>
      <c r="E173" s="2" t="s">
        <v>1080</v>
      </c>
      <c r="F173" s="3">
        <f>MAX(SharedData!$H$6:$H$25)</f>
        <v>0</v>
      </c>
      <c r="G173" s="8"/>
      <c r="H173" s="8"/>
      <c r="I173" s="8"/>
      <c r="J173" s="8"/>
      <c r="K173" s="8"/>
      <c r="L173" s="8"/>
      <c r="M173" s="6" t="s">
        <v>129</v>
      </c>
      <c r="N173" s="3" t="str">
        <f>IF(ISERROR(F173),"ERROR "&amp;IFERROR(ERROR.TYPE(F173),""),"OK")</f>
        <v>OK</v>
      </c>
      <c r="O173" s="9" t="s">
        <v>541</v>
      </c>
      <c r="P173" s="3">
        <f>IFERROR(N(F173),0)+IFERROR(N(Arithmetic!$F$161),0)+ROW()/100000</f>
        <v>1.73E-3</v>
      </c>
    </row>
    <row r="174" spans="1:16" ht="18" customHeight="1">
      <c r="A174" s="8" t="s">
        <v>1081</v>
      </c>
      <c r="B174" s="8" t="s">
        <v>537</v>
      </c>
      <c r="C174" s="8" t="s">
        <v>538</v>
      </c>
      <c r="D174" s="8" t="s">
        <v>539</v>
      </c>
      <c r="E174" s="2" t="s">
        <v>1082</v>
      </c>
      <c r="F174" s="3">
        <f>SUM(1,TRUE,"2")</f>
        <v>4</v>
      </c>
      <c r="G174" s="8"/>
      <c r="H174" s="8"/>
      <c r="I174" s="8"/>
      <c r="J174" s="8"/>
      <c r="K174" s="8"/>
      <c r="L174" s="8"/>
      <c r="M174" s="6" t="s">
        <v>129</v>
      </c>
      <c r="N174" s="8"/>
      <c r="O174" s="9" t="s">
        <v>541</v>
      </c>
      <c r="P174" s="8"/>
    </row>
    <row r="175" spans="1:16" ht="18" customHeight="1">
      <c r="A175" s="8" t="s">
        <v>1083</v>
      </c>
      <c r="B175" s="8" t="s">
        <v>537</v>
      </c>
      <c r="C175" s="8" t="s">
        <v>538</v>
      </c>
      <c r="D175" s="8" t="s">
        <v>539</v>
      </c>
      <c r="E175" s="2" t="s">
        <v>1084</v>
      </c>
      <c r="F175" s="3">
        <f>AVERAGE(1,TRUE,"2")</f>
        <v>1.3333333333333333</v>
      </c>
      <c r="G175" s="8"/>
      <c r="H175" s="8"/>
      <c r="I175" s="8"/>
      <c r="J175" s="8"/>
      <c r="K175" s="8"/>
      <c r="L175" s="8"/>
      <c r="M175" s="6" t="s">
        <v>129</v>
      </c>
      <c r="N175" s="8"/>
      <c r="O175" s="9" t="s">
        <v>541</v>
      </c>
      <c r="P175" s="8"/>
    </row>
    <row r="176" spans="1:16" ht="18" customHeight="1">
      <c r="A176" s="8" t="s">
        <v>1085</v>
      </c>
      <c r="B176" s="8" t="s">
        <v>537</v>
      </c>
      <c r="C176" s="8" t="s">
        <v>538</v>
      </c>
      <c r="D176" s="8" t="s">
        <v>539</v>
      </c>
      <c r="E176" s="2" t="s">
        <v>1086</v>
      </c>
      <c r="F176" s="3">
        <f>SUMPRODUCT(("SharedData"&lt;&gt;"")*1)</f>
        <v>1</v>
      </c>
      <c r="G176" s="8"/>
      <c r="H176" s="8"/>
      <c r="I176" s="8"/>
      <c r="J176" s="8"/>
      <c r="K176" s="8"/>
      <c r="L176" s="8"/>
      <c r="M176" s="6" t="s">
        <v>129</v>
      </c>
      <c r="N176" s="8"/>
      <c r="O176" s="9" t="s">
        <v>541</v>
      </c>
      <c r="P176" s="8"/>
    </row>
    <row r="177" spans="1:15" ht="18" customHeight="1">
      <c r="A177" s="8" t="s">
        <v>1087</v>
      </c>
      <c r="B177" s="8" t="s">
        <v>537</v>
      </c>
      <c r="C177" s="8" t="s">
        <v>538</v>
      </c>
      <c r="D177" s="8" t="s">
        <v>539</v>
      </c>
      <c r="E177" s="2" t="s">
        <v>1088</v>
      </c>
      <c r="F177" s="3">
        <f>_xlfn.AGGREGATE(14,6,SharedData!$E$6:$E$25,3)</f>
        <v>180</v>
      </c>
      <c r="G177" s="8"/>
      <c r="H177" s="8"/>
      <c r="I177" s="8"/>
      <c r="J177" s="8"/>
      <c r="K177" s="8"/>
      <c r="L177" s="8"/>
      <c r="M177" s="6" t="s">
        <v>129</v>
      </c>
      <c r="N177" s="8"/>
      <c r="O177" s="9" t="s">
        <v>541</v>
      </c>
    </row>
    <row r="178" spans="1:15" ht="18" customHeight="1">
      <c r="A178" s="8" t="s">
        <v>1089</v>
      </c>
      <c r="B178" s="8" t="s">
        <v>537</v>
      </c>
      <c r="C178" s="8" t="s">
        <v>538</v>
      </c>
      <c r="D178" s="8" t="s">
        <v>539</v>
      </c>
      <c r="E178" s="2" t="s">
        <v>1090</v>
      </c>
      <c r="F178" s="3">
        <f>CORREL(SharedData!$I$6:$I$25,SharedData!$J$6:$J$25)^2-RSQ(SharedData!$J$6:$J$25,SharedData!$I$6:$I$25)</f>
        <v>0</v>
      </c>
      <c r="G178" s="8"/>
      <c r="H178" s="8"/>
      <c r="I178" s="8"/>
      <c r="J178" s="8"/>
      <c r="K178" s="8"/>
      <c r="L178" s="8"/>
      <c r="M178" s="6" t="s">
        <v>129</v>
      </c>
      <c r="N178" s="8"/>
      <c r="O178" s="9" t="s">
        <v>541</v>
      </c>
    </row>
  </sheetData>
  <autoFilter ref="A4:P178" xr:uid="{00000000-0009-0000-0000-000003000000}"/>
  <mergeCells count="2">
    <mergeCell ref="A1:P1"/>
    <mergeCell ref="A2:P2"/>
  </mergeCells>
  <conditionalFormatting sqref="F5:F178">
    <cfRule type="containsErrors" dxfId="8" priority="1"/>
  </conditionalFormatting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0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1091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COUNTA(A5:A80)</f>
        <v>16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COUNTA(A5:A80)</f>
        <v>16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COUNTA(A5:A80)-COUNTIF(M5:M80,"excluded")</f>
        <v>16</v>
      </c>
    </row>
    <row r="5" spans="1:19" ht="20.100000000000001" customHeight="1">
      <c r="A5" s="8" t="s">
        <v>1092</v>
      </c>
      <c r="B5" s="8" t="s">
        <v>537</v>
      </c>
      <c r="C5" s="8" t="s">
        <v>538</v>
      </c>
      <c r="D5" s="8" t="s">
        <v>539</v>
      </c>
      <c r="E5" s="2" t="s">
        <v>1093</v>
      </c>
      <c r="F5" s="3">
        <f t="array" ref="F5">SUM(IF(SharedData!$C$6:$C$25="A",SharedData!$E$6:$E$25,0))</f>
        <v>700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541</v>
      </c>
      <c r="P5" s="3">
        <f>IFERROR(N(F5),0)+IFERROR(N(Aggregates!$F$5),0)+ROW()/100000</f>
        <v>750.00004999999999</v>
      </c>
      <c r="Q5" s="8"/>
      <c r="R5" s="8"/>
      <c r="S5" s="8"/>
    </row>
    <row r="10" spans="1:19" ht="20.100000000000001" customHeight="1">
      <c r="A10" s="8" t="s">
        <v>1094</v>
      </c>
      <c r="B10" s="8" t="s">
        <v>537</v>
      </c>
      <c r="C10" s="8" t="s">
        <v>538</v>
      </c>
      <c r="D10" s="8" t="s">
        <v>539</v>
      </c>
      <c r="E10" s="2" t="s">
        <v>1095</v>
      </c>
      <c r="F10" s="3">
        <f t="array" ref="F10">SUM(IF(SharedData!$G$6:$G$25,SharedData!$E$6:$E$25*SharedData!$F$6:$F$25,0))</f>
        <v>3850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541</v>
      </c>
      <c r="P10" s="8"/>
      <c r="Q10" s="8"/>
      <c r="R10" s="8"/>
      <c r="S10" s="8"/>
    </row>
    <row r="15" spans="1:19" ht="20.100000000000001" customHeight="1">
      <c r="A15" s="8" t="s">
        <v>1096</v>
      </c>
      <c r="B15" s="8" t="s">
        <v>537</v>
      </c>
      <c r="C15" s="8" t="s">
        <v>538</v>
      </c>
      <c r="D15" s="8" t="s">
        <v>539</v>
      </c>
      <c r="E15" s="2" t="s">
        <v>1097</v>
      </c>
      <c r="F15" s="3">
        <f t="array" ref="F15:H17">IF({1,0,1;0,1,0;1,1,0},{10,20,30;40,50,60;70,80,90},NA())</f>
        <v>10</v>
      </c>
      <c r="G15" s="8" t="e">
        <v>#N/A</v>
      </c>
      <c r="H15" s="8">
        <v>30</v>
      </c>
      <c r="I15" s="8"/>
      <c r="J15" s="8"/>
      <c r="K15" s="8"/>
      <c r="L15" s="8"/>
      <c r="M15" s="6" t="s">
        <v>129</v>
      </c>
      <c r="N15" s="8"/>
      <c r="O15" s="9" t="s">
        <v>541</v>
      </c>
      <c r="P15" s="8"/>
      <c r="Q15" s="8"/>
      <c r="R15" s="8"/>
      <c r="S15" s="8"/>
    </row>
    <row r="16" spans="1:19">
      <c r="A16" s="8"/>
      <c r="B16" s="8"/>
      <c r="C16" s="8"/>
      <c r="D16" s="8"/>
      <c r="E16" s="8"/>
      <c r="F16" s="8" t="e">
        <v>#N/A</v>
      </c>
      <c r="G16" s="8">
        <v>50</v>
      </c>
      <c r="H16" s="8" t="e">
        <v>#N/A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5">
      <c r="A17" s="8"/>
      <c r="B17" s="8"/>
      <c r="C17" s="8"/>
      <c r="D17" s="8"/>
      <c r="E17" s="8"/>
      <c r="F17" s="8">
        <v>70</v>
      </c>
      <c r="G17" s="8">
        <v>80</v>
      </c>
      <c r="H17" s="8" t="e">
        <v>#N/A</v>
      </c>
      <c r="I17" s="8"/>
      <c r="J17" s="8"/>
      <c r="K17" s="8"/>
      <c r="L17" s="8"/>
      <c r="M17" s="8"/>
      <c r="N17" s="8"/>
      <c r="O17" s="8"/>
    </row>
    <row r="20" spans="1:15" ht="20.100000000000001" customHeight="1">
      <c r="A20" s="8" t="s">
        <v>1098</v>
      </c>
      <c r="B20" s="8" t="s">
        <v>537</v>
      </c>
      <c r="C20" s="8" t="s">
        <v>538</v>
      </c>
      <c r="D20" s="8" t="s">
        <v>539</v>
      </c>
      <c r="E20" s="2" t="s">
        <v>1099</v>
      </c>
      <c r="F20" s="3">
        <f t="array" ref="F20:H22">{1,2,3}*{1;10;100}</f>
        <v>1</v>
      </c>
      <c r="G20" s="8">
        <v>2</v>
      </c>
      <c r="H20" s="8">
        <v>3</v>
      </c>
      <c r="I20" s="8"/>
      <c r="J20" s="8"/>
      <c r="K20" s="8"/>
      <c r="L20" s="8"/>
      <c r="M20" s="6" t="s">
        <v>129</v>
      </c>
      <c r="N20" s="8"/>
      <c r="O20" s="9" t="s">
        <v>541</v>
      </c>
    </row>
    <row r="21" spans="1:15">
      <c r="A21" s="8"/>
      <c r="B21" s="8"/>
      <c r="C21" s="8"/>
      <c r="D21" s="8"/>
      <c r="E21" s="8"/>
      <c r="F21" s="8">
        <v>10</v>
      </c>
      <c r="G21" s="8">
        <v>20</v>
      </c>
      <c r="H21" s="8">
        <v>30</v>
      </c>
      <c r="I21" s="8"/>
      <c r="J21" s="8"/>
      <c r="K21" s="8"/>
      <c r="L21" s="8"/>
      <c r="M21" s="8"/>
      <c r="N21" s="8"/>
      <c r="O21" s="8"/>
    </row>
    <row r="22" spans="1:15">
      <c r="A22" s="8"/>
      <c r="B22" s="8"/>
      <c r="C22" s="8"/>
      <c r="D22" s="8"/>
      <c r="E22" s="8"/>
      <c r="F22" s="8">
        <v>100</v>
      </c>
      <c r="G22" s="8">
        <v>200</v>
      </c>
      <c r="H22" s="8">
        <v>300</v>
      </c>
      <c r="I22" s="8"/>
      <c r="J22" s="8"/>
      <c r="K22" s="8"/>
      <c r="L22" s="8"/>
      <c r="M22" s="8"/>
      <c r="N22" s="8"/>
      <c r="O22" s="8"/>
    </row>
    <row r="25" spans="1:15" ht="20.100000000000001" customHeight="1">
      <c r="A25" s="8" t="s">
        <v>1100</v>
      </c>
      <c r="B25" s="8" t="s">
        <v>537</v>
      </c>
      <c r="C25" s="8" t="s">
        <v>538</v>
      </c>
      <c r="D25" s="8" t="s">
        <v>539</v>
      </c>
      <c r="E25" s="2" t="s">
        <v>1101</v>
      </c>
      <c r="F25" s="3">
        <f t="array" ref="F25:I27">{1,2,3,4}*{1;2;3}</f>
        <v>1</v>
      </c>
      <c r="G25" s="8">
        <v>2</v>
      </c>
      <c r="H25" s="8">
        <v>3</v>
      </c>
      <c r="I25" s="8">
        <v>4</v>
      </c>
      <c r="J25" s="8"/>
      <c r="K25" s="8"/>
      <c r="L25" s="8"/>
      <c r="M25" s="6" t="s">
        <v>129</v>
      </c>
      <c r="N25" s="8"/>
      <c r="O25" s="9" t="s">
        <v>541</v>
      </c>
    </row>
    <row r="26" spans="1:15">
      <c r="A26" s="8"/>
      <c r="B26" s="8"/>
      <c r="C26" s="8"/>
      <c r="D26" s="8"/>
      <c r="E26" s="8"/>
      <c r="F26" s="8">
        <v>2</v>
      </c>
      <c r="G26" s="8">
        <v>4</v>
      </c>
      <c r="H26" s="8">
        <v>6</v>
      </c>
      <c r="I26" s="8">
        <v>8</v>
      </c>
      <c r="J26" s="8"/>
      <c r="K26" s="8"/>
      <c r="L26" s="8"/>
      <c r="M26" s="8"/>
      <c r="N26" s="8"/>
      <c r="O26" s="8"/>
    </row>
    <row r="27" spans="1:15">
      <c r="A27" s="8"/>
      <c r="B27" s="8"/>
      <c r="C27" s="8"/>
      <c r="D27" s="8"/>
      <c r="E27" s="8"/>
      <c r="F27" s="8">
        <v>3</v>
      </c>
      <c r="G27" s="8">
        <v>6</v>
      </c>
      <c r="H27" s="8">
        <v>9</v>
      </c>
      <c r="I27" s="8">
        <v>12</v>
      </c>
      <c r="J27" s="8"/>
      <c r="K27" s="8"/>
      <c r="L27" s="8"/>
      <c r="M27" s="8"/>
      <c r="N27" s="8"/>
      <c r="O27" s="8"/>
    </row>
    <row r="30" spans="1:15" ht="20.100000000000001" customHeight="1">
      <c r="A30" s="8" t="s">
        <v>1102</v>
      </c>
      <c r="B30" s="8" t="s">
        <v>537</v>
      </c>
      <c r="C30" s="8" t="s">
        <v>538</v>
      </c>
      <c r="D30" s="8" t="s">
        <v>539</v>
      </c>
      <c r="E30" s="2" t="s">
        <v>1103</v>
      </c>
      <c r="F30" s="3" t="str">
        <f t="array" ref="F30:G31">IF({TRUE,FALSE;FALSE,TRUE},{"text",2;TRUE,45351},NA())</f>
        <v>text</v>
      </c>
      <c r="G30" s="8" t="e">
        <v>#N/A</v>
      </c>
      <c r="H30" s="8"/>
      <c r="I30" s="8"/>
      <c r="J30" s="8"/>
      <c r="K30" s="8"/>
      <c r="L30" s="8"/>
      <c r="M30" s="6" t="s">
        <v>129</v>
      </c>
      <c r="N30" s="8"/>
      <c r="O30" s="9" t="s">
        <v>541</v>
      </c>
    </row>
    <row r="31" spans="1:15">
      <c r="A31" s="8"/>
      <c r="B31" s="8"/>
      <c r="C31" s="8"/>
      <c r="D31" s="8"/>
      <c r="E31" s="8"/>
      <c r="F31" s="8" t="e">
        <v>#N/A</v>
      </c>
      <c r="G31" s="8">
        <v>45351</v>
      </c>
      <c r="H31" s="8"/>
      <c r="I31" s="8"/>
      <c r="J31" s="8"/>
      <c r="K31" s="8"/>
      <c r="L31" s="8"/>
      <c r="M31" s="8"/>
      <c r="N31" s="8"/>
      <c r="O31" s="8"/>
    </row>
    <row r="35" spans="1:15" ht="20.100000000000001" customHeight="1">
      <c r="A35" s="8" t="s">
        <v>1104</v>
      </c>
      <c r="B35" s="8" t="s">
        <v>537</v>
      </c>
      <c r="C35" s="8" t="s">
        <v>538</v>
      </c>
      <c r="D35" s="8" t="s">
        <v>539</v>
      </c>
      <c r="E35" s="2" t="s">
        <v>1105</v>
      </c>
      <c r="F35" s="3">
        <f t="array" ref="F35:H35">{1,2,3}+{1,2}</f>
        <v>2</v>
      </c>
      <c r="G35" s="8">
        <v>4</v>
      </c>
      <c r="H35" s="8" t="e">
        <v>#N/A</v>
      </c>
      <c r="I35" s="8"/>
      <c r="J35" s="8"/>
      <c r="K35" s="8"/>
      <c r="L35" s="8"/>
      <c r="M35" s="6" t="s">
        <v>129</v>
      </c>
      <c r="N35" s="8"/>
      <c r="O35" s="9" t="s">
        <v>541</v>
      </c>
    </row>
    <row r="40" spans="1:15" ht="20.100000000000001" customHeight="1">
      <c r="A40" s="8" t="s">
        <v>1106</v>
      </c>
      <c r="B40" s="8" t="s">
        <v>537</v>
      </c>
      <c r="C40" s="8" t="s">
        <v>538</v>
      </c>
      <c r="D40" s="8" t="s">
        <v>539</v>
      </c>
      <c r="E40" s="2" t="s">
        <v>1107</v>
      </c>
      <c r="F40" s="3">
        <f t="array" ref="F40:H40">{10,20}</f>
        <v>10</v>
      </c>
      <c r="G40" s="8">
        <v>20</v>
      </c>
      <c r="H40" s="8" t="e">
        <v>#N/A</v>
      </c>
      <c r="I40" s="8"/>
      <c r="J40" s="8"/>
      <c r="K40" s="8"/>
      <c r="L40" s="8"/>
      <c r="M40" s="6" t="s">
        <v>129</v>
      </c>
      <c r="N40" s="8"/>
      <c r="O40" s="9" t="s">
        <v>541</v>
      </c>
    </row>
    <row r="45" spans="1:15" ht="20.100000000000001" customHeight="1">
      <c r="A45" s="8" t="s">
        <v>1108</v>
      </c>
      <c r="B45" s="8" t="s">
        <v>537</v>
      </c>
      <c r="C45" s="8" t="s">
        <v>538</v>
      </c>
      <c r="D45" s="8" t="s">
        <v>539</v>
      </c>
      <c r="E45" s="2" t="s">
        <v>1109</v>
      </c>
      <c r="F45" s="3">
        <f t="array" ref="F45:H46">{1,2;3,4}+{10,20,30;40,50,60}</f>
        <v>11</v>
      </c>
      <c r="G45" s="8">
        <v>22</v>
      </c>
      <c r="H45" s="8" t="e">
        <v>#N/A</v>
      </c>
      <c r="I45" s="8"/>
      <c r="J45" s="8"/>
      <c r="K45" s="8"/>
      <c r="L45" s="8"/>
      <c r="M45" s="6" t="s">
        <v>129</v>
      </c>
      <c r="N45" s="3" t="str">
        <f>IF(ISERROR(F45),"ERROR "&amp;IFERROR(ERROR.TYPE(F45),""),"OK")</f>
        <v>OK</v>
      </c>
      <c r="O45" s="9" t="s">
        <v>541</v>
      </c>
    </row>
    <row r="46" spans="1:15">
      <c r="A46" s="8"/>
      <c r="B46" s="8"/>
      <c r="C46" s="8"/>
      <c r="D46" s="8"/>
      <c r="E46" s="8"/>
      <c r="F46" s="8">
        <v>43</v>
      </c>
      <c r="G46" s="8">
        <v>54</v>
      </c>
      <c r="H46" s="8" t="e">
        <v>#N/A</v>
      </c>
      <c r="I46" s="8"/>
      <c r="J46" s="8"/>
      <c r="K46" s="8"/>
      <c r="L46" s="8"/>
      <c r="M46" s="8"/>
      <c r="N46" s="8"/>
      <c r="O46" s="8"/>
    </row>
    <row r="50" spans="1:15" ht="20.100000000000001" customHeight="1">
      <c r="A50" s="8" t="s">
        <v>1110</v>
      </c>
      <c r="B50" s="8" t="s">
        <v>537</v>
      </c>
      <c r="C50" s="8" t="s">
        <v>538</v>
      </c>
      <c r="D50" s="8" t="s">
        <v>539</v>
      </c>
      <c r="E50" s="2" t="s">
        <v>1111</v>
      </c>
      <c r="F50" s="3">
        <f t="array" ref="F50:G51">MMULT({1,2,3;4,5,6},{7,8;9,10;11,12})</f>
        <v>58</v>
      </c>
      <c r="G50" s="8">
        <v>64</v>
      </c>
      <c r="H50" s="8"/>
      <c r="I50" s="8"/>
      <c r="J50" s="8"/>
      <c r="K50" s="8"/>
      <c r="L50" s="8"/>
      <c r="M50" s="6" t="s">
        <v>129</v>
      </c>
      <c r="N50" s="8"/>
      <c r="O50" s="9" t="s">
        <v>541</v>
      </c>
    </row>
    <row r="51" spans="1:15">
      <c r="A51" s="8"/>
      <c r="B51" s="8"/>
      <c r="C51" s="8"/>
      <c r="D51" s="8"/>
      <c r="E51" s="8"/>
      <c r="F51" s="8">
        <v>139</v>
      </c>
      <c r="G51" s="8">
        <v>154</v>
      </c>
      <c r="H51" s="8"/>
      <c r="I51" s="8"/>
      <c r="J51" s="8"/>
      <c r="K51" s="8"/>
      <c r="L51" s="8"/>
      <c r="M51" s="8"/>
      <c r="N51" s="8"/>
      <c r="O51" s="8"/>
    </row>
    <row r="55" spans="1:15" ht="20.100000000000001" customHeight="1">
      <c r="A55" s="8" t="s">
        <v>1112</v>
      </c>
      <c r="B55" s="8" t="s">
        <v>537</v>
      </c>
      <c r="C55" s="8" t="s">
        <v>538</v>
      </c>
      <c r="D55" s="8" t="s">
        <v>539</v>
      </c>
      <c r="E55" s="2" t="s">
        <v>1113</v>
      </c>
      <c r="F55" s="3">
        <f t="array" ref="F55:H57">TRANSPOSE(SharedData!$A$6:$C$8)</f>
        <v>0.1</v>
      </c>
      <c r="G55" s="8">
        <v>0.2</v>
      </c>
      <c r="H55" s="8">
        <v>-0.3</v>
      </c>
      <c r="I55" s="8"/>
      <c r="J55" s="8"/>
      <c r="K55" s="8"/>
      <c r="L55" s="8"/>
      <c r="M55" s="6" t="s">
        <v>129</v>
      </c>
      <c r="N55" s="8"/>
      <c r="O55" s="9" t="s">
        <v>541</v>
      </c>
    </row>
    <row r="56" spans="1:15">
      <c r="A56" s="8"/>
      <c r="B56" s="8"/>
      <c r="C56" s="8"/>
      <c r="D56" s="8"/>
      <c r="E56" s="8"/>
      <c r="F56" s="8" t="str">
        <v>K001</v>
      </c>
      <c r="G56" s="8" t="str">
        <v>K002</v>
      </c>
      <c r="H56" s="8" t="str">
        <v>K003</v>
      </c>
      <c r="I56" s="8"/>
      <c r="J56" s="8"/>
      <c r="K56" s="8"/>
      <c r="L56" s="8"/>
      <c r="M56" s="8"/>
      <c r="N56" s="8"/>
      <c r="O56" s="8"/>
    </row>
    <row r="57" spans="1:15">
      <c r="A57" s="8"/>
      <c r="B57" s="8"/>
      <c r="C57" s="8"/>
      <c r="D57" s="8"/>
      <c r="E57" s="8"/>
      <c r="F57" s="8" t="str">
        <v>A</v>
      </c>
      <c r="G57" s="8" t="str">
        <v>B</v>
      </c>
      <c r="H57" s="8" t="str">
        <v>C</v>
      </c>
      <c r="I57" s="8"/>
      <c r="J57" s="8"/>
      <c r="K57" s="8"/>
      <c r="L57" s="8"/>
      <c r="M57" s="8"/>
      <c r="N57" s="8"/>
      <c r="O57" s="8"/>
    </row>
    <row r="60" spans="1:15" ht="20.100000000000001" customHeight="1">
      <c r="A60" s="8" t="s">
        <v>1114</v>
      </c>
      <c r="B60" s="8" t="s">
        <v>537</v>
      </c>
      <c r="C60" s="8" t="s">
        <v>538</v>
      </c>
      <c r="D60" s="8" t="s">
        <v>539</v>
      </c>
      <c r="E60" s="2" t="s">
        <v>1115</v>
      </c>
      <c r="F60" s="3">
        <f t="array" ref="F60">SUM(IF(ISNUMBER(SharedData!$A$6:$H$25),SharedData!$A$6:$H$25,0))</f>
        <v>884842.65</v>
      </c>
      <c r="G60" s="8"/>
      <c r="H60" s="8"/>
      <c r="I60" s="8"/>
      <c r="J60" s="8"/>
      <c r="K60" s="8"/>
      <c r="L60" s="8"/>
      <c r="M60" s="6" t="s">
        <v>129</v>
      </c>
      <c r="N60" s="8"/>
      <c r="O60" s="9" t="s">
        <v>541</v>
      </c>
    </row>
    <row r="65" spans="1:16" ht="20.100000000000001" customHeight="1">
      <c r="A65" s="8" t="s">
        <v>1116</v>
      </c>
      <c r="B65" s="8" t="s">
        <v>537</v>
      </c>
      <c r="C65" s="8" t="s">
        <v>538</v>
      </c>
      <c r="D65" s="8" t="s">
        <v>539</v>
      </c>
      <c r="E65" s="2" t="s">
        <v>1117</v>
      </c>
      <c r="F65" s="3">
        <f t="array" ref="F65">SUM(IF(SharedData!$H$6:$H$25="text",1,0))</f>
        <v>2</v>
      </c>
      <c r="G65" s="8"/>
      <c r="H65" s="8"/>
      <c r="I65" s="8"/>
      <c r="J65" s="8"/>
      <c r="K65" s="8"/>
      <c r="L65" s="8"/>
      <c r="M65" s="6" t="s">
        <v>129</v>
      </c>
      <c r="N65" s="8"/>
      <c r="O65" s="9" t="s">
        <v>541</v>
      </c>
      <c r="P65" s="3">
        <f>IFERROR(N(F65),0)+IFERROR(N(Aggregates!$F$5),0)+ROW()/100000</f>
        <v>52.00065</v>
      </c>
    </row>
    <row r="70" spans="1:16" ht="20.100000000000001" customHeight="1">
      <c r="A70" s="8" t="s">
        <v>1118</v>
      </c>
      <c r="B70" s="8" t="s">
        <v>537</v>
      </c>
      <c r="C70" s="8" t="s">
        <v>538</v>
      </c>
      <c r="D70" s="8" t="s">
        <v>539</v>
      </c>
      <c r="E70" s="2" t="s">
        <v>1119</v>
      </c>
      <c r="F70" s="3">
        <f t="array" ref="F70:H72">INDEX(SharedData!$A$6:$F$25,{1;5;10},{1,3,5})</f>
        <v>0.1</v>
      </c>
      <c r="G70" s="8" t="str">
        <v>A</v>
      </c>
      <c r="H70" s="8">
        <v>10</v>
      </c>
      <c r="I70" s="8"/>
      <c r="J70" s="8"/>
      <c r="K70" s="8"/>
      <c r="L70" s="8"/>
      <c r="M70" s="6" t="s">
        <v>129</v>
      </c>
      <c r="N70" s="8"/>
      <c r="O70" s="9" t="s">
        <v>541</v>
      </c>
      <c r="P70" s="8"/>
    </row>
    <row r="71" spans="1:16">
      <c r="A71" s="8"/>
      <c r="B71" s="8"/>
      <c r="C71" s="8"/>
      <c r="D71" s="8"/>
      <c r="E71" s="8"/>
      <c r="F71" s="8">
        <v>2</v>
      </c>
      <c r="G71" s="8" t="str">
        <v>B</v>
      </c>
      <c r="H71" s="8">
        <v>50</v>
      </c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>
        <v>-10</v>
      </c>
      <c r="G72" s="8" t="str">
        <v>A</v>
      </c>
      <c r="H72" s="8">
        <v>100</v>
      </c>
      <c r="I72" s="8"/>
      <c r="J72" s="8"/>
      <c r="K72" s="8"/>
      <c r="L72" s="8"/>
      <c r="M72" s="8"/>
      <c r="N72" s="8"/>
      <c r="O72" s="8"/>
      <c r="P72" s="8"/>
    </row>
    <row r="75" spans="1:16" ht="20.100000000000001" customHeight="1">
      <c r="A75" s="8" t="s">
        <v>1120</v>
      </c>
      <c r="B75" s="8" t="s">
        <v>537</v>
      </c>
      <c r="C75" s="8" t="s">
        <v>538</v>
      </c>
      <c r="D75" s="8" t="s">
        <v>539</v>
      </c>
      <c r="E75" s="2" t="s">
        <v>1121</v>
      </c>
      <c r="F75" s="3">
        <f t="array" ref="F75:J75">IF({1,0,1,0,1},SharedData!$E$6:$E$10,SharedData!$B$6:$B$10)</f>
        <v>10</v>
      </c>
      <c r="G75" s="8" t="str">
        <v>K001</v>
      </c>
      <c r="H75" s="8">
        <v>10</v>
      </c>
      <c r="I75" s="8" t="str">
        <v>K001</v>
      </c>
      <c r="J75" s="8">
        <v>10</v>
      </c>
      <c r="K75" s="8"/>
      <c r="L75" s="8"/>
      <c r="M75" s="6" t="s">
        <v>129</v>
      </c>
      <c r="N75" s="8"/>
      <c r="O75" s="9" t="s">
        <v>541</v>
      </c>
      <c r="P75" s="8"/>
    </row>
    <row r="80" spans="1:16" ht="20.100000000000001" customHeight="1">
      <c r="A80" s="8" t="s">
        <v>1122</v>
      </c>
      <c r="B80" s="8" t="s">
        <v>537</v>
      </c>
      <c r="C80" s="8" t="s">
        <v>538</v>
      </c>
      <c r="D80" s="8" t="s">
        <v>539</v>
      </c>
      <c r="E80" s="2" t="s">
        <v>1123</v>
      </c>
      <c r="F80" s="3">
        <f t="array" ref="F80">SUM({1,2,3}*{1;10;100})</f>
        <v>666</v>
      </c>
      <c r="G80" s="8"/>
      <c r="H80" s="8"/>
      <c r="I80" s="8"/>
      <c r="J80" s="8"/>
      <c r="K80" s="8"/>
      <c r="L80" s="8"/>
      <c r="M80" s="6" t="s">
        <v>129</v>
      </c>
      <c r="N80" s="8"/>
      <c r="O80" s="9" t="s">
        <v>541</v>
      </c>
      <c r="P80" s="8"/>
    </row>
  </sheetData>
  <autoFilter ref="A4:P80" xr:uid="{00000000-0009-0000-0000-000004000000}"/>
  <mergeCells count="2">
    <mergeCell ref="A1:P1"/>
    <mergeCell ref="A2:P2"/>
  </mergeCells>
  <conditionalFormatting sqref="F5:F80">
    <cfRule type="containsErrors" dxfId="7" priority="1"/>
  </conditionalFormatting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41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1124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COUNTA(A5:A1541)</f>
        <v>65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COUNTA(A5:A1541)</f>
        <v>65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COUNTA(A5:A1541)-COUNTIF(M5:M1541,"excluded")</f>
        <v>65</v>
      </c>
    </row>
    <row r="5" spans="1:19" ht="20.100000000000001" customHeight="1">
      <c r="A5" s="8" t="s">
        <v>1125</v>
      </c>
      <c r="B5" s="8" t="s">
        <v>1126</v>
      </c>
      <c r="C5" s="8" t="s">
        <v>1127</v>
      </c>
      <c r="D5" s="8" t="s">
        <v>127</v>
      </c>
      <c r="E5" s="2" t="s">
        <v>1128</v>
      </c>
      <c r="F5" s="3" cm="1">
        <f t="array" ref="F5:G5">_xlfn.BYCOL(SharedData!$E$6:$F$10,_xlfn.LAMBDA(_xlpm.col,SUM(_xlpm.col)))</f>
        <v>150</v>
      </c>
      <c r="G5" s="8">
        <v>15</v>
      </c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130</v>
      </c>
      <c r="P5" s="3">
        <f>IFERROR(N(F5),0)+IFERROR(N(ArraysCSE!$F$5),0)+ROW()/100000</f>
        <v>850.00004999999999</v>
      </c>
      <c r="Q5" s="8"/>
      <c r="R5" s="8"/>
      <c r="S5" s="8"/>
    </row>
    <row r="29" spans="1:15" ht="20.100000000000001" customHeight="1">
      <c r="A29" s="8" t="s">
        <v>1129</v>
      </c>
      <c r="B29" s="8" t="s">
        <v>1126</v>
      </c>
      <c r="C29" s="8" t="s">
        <v>1130</v>
      </c>
      <c r="D29" s="8" t="s">
        <v>127</v>
      </c>
      <c r="E29" s="2" t="s">
        <v>1131</v>
      </c>
      <c r="F29" s="3" cm="1">
        <f t="array" ref="F29:F33">_xlfn.BYROW(SharedData!$E$6:$F$10,_xlfn.LAMBDA(_xlpm.row,SUM(_xlpm.row)))</f>
        <v>11</v>
      </c>
      <c r="G29" s="8"/>
      <c r="H29" s="8"/>
      <c r="I29" s="8"/>
      <c r="J29" s="8"/>
      <c r="K29" s="8"/>
      <c r="L29" s="8"/>
      <c r="M29" s="6" t="s">
        <v>129</v>
      </c>
      <c r="N29" s="8"/>
      <c r="O29" s="9" t="s">
        <v>130</v>
      </c>
    </row>
    <row r="30" spans="1:15">
      <c r="A30" s="8"/>
      <c r="B30" s="8"/>
      <c r="C30" s="8"/>
      <c r="D30" s="8"/>
      <c r="E30" s="8"/>
      <c r="F30" s="8">
        <v>22</v>
      </c>
      <c r="G30" s="8"/>
      <c r="H30" s="8"/>
      <c r="I30" s="8"/>
      <c r="J30" s="8"/>
      <c r="K30" s="8"/>
      <c r="L30" s="8"/>
      <c r="M30" s="8"/>
      <c r="N30" s="8"/>
      <c r="O30" s="8"/>
    </row>
    <row r="31" spans="1:15">
      <c r="A31" s="8"/>
      <c r="B31" s="8"/>
      <c r="C31" s="8"/>
      <c r="D31" s="8"/>
      <c r="E31" s="8"/>
      <c r="F31" s="8">
        <v>33</v>
      </c>
      <c r="G31" s="8"/>
      <c r="H31" s="8"/>
      <c r="I31" s="8"/>
      <c r="J31" s="8"/>
      <c r="K31" s="8"/>
      <c r="L31" s="8"/>
      <c r="M31" s="8"/>
      <c r="N31" s="8"/>
      <c r="O31" s="8"/>
    </row>
    <row r="32" spans="1:15">
      <c r="A32" s="8"/>
      <c r="B32" s="8"/>
      <c r="C32" s="8"/>
      <c r="D32" s="8"/>
      <c r="E32" s="8"/>
      <c r="F32" s="8">
        <v>44</v>
      </c>
      <c r="G32" s="8"/>
      <c r="H32" s="8"/>
      <c r="I32" s="8"/>
      <c r="J32" s="8"/>
      <c r="K32" s="8"/>
      <c r="L32" s="8"/>
      <c r="M32" s="8"/>
      <c r="N32" s="8"/>
      <c r="O32" s="8"/>
    </row>
    <row r="33" spans="6:6">
      <c r="F33" s="8">
        <v>55</v>
      </c>
    </row>
    <row r="53" spans="1:15" ht="20.100000000000001" customHeight="1">
      <c r="A53" s="8" t="s">
        <v>1132</v>
      </c>
      <c r="B53" s="8" t="s">
        <v>1126</v>
      </c>
      <c r="C53" s="8" t="s">
        <v>1133</v>
      </c>
      <c r="D53" s="8" t="s">
        <v>127</v>
      </c>
      <c r="E53" s="2" t="s">
        <v>1134</v>
      </c>
      <c r="F53" s="3" cm="1">
        <f t="array" ref="F53:H57">_xlfn.CHOOSECOLS(SharedData!$A$6:$F$10,1,3,5)</f>
        <v>0.1</v>
      </c>
      <c r="G53" s="8" t="str">
        <v>A</v>
      </c>
      <c r="H53" s="8">
        <v>10</v>
      </c>
      <c r="I53" s="8"/>
      <c r="J53" s="8"/>
      <c r="K53" s="8"/>
      <c r="L53" s="8"/>
      <c r="M53" s="6" t="s">
        <v>129</v>
      </c>
      <c r="N53" s="8"/>
      <c r="O53" s="9" t="s">
        <v>130</v>
      </c>
    </row>
    <row r="54" spans="1:15">
      <c r="A54" s="8"/>
      <c r="B54" s="8"/>
      <c r="C54" s="8"/>
      <c r="D54" s="8"/>
      <c r="E54" s="8"/>
      <c r="F54" s="8">
        <v>0.2</v>
      </c>
      <c r="G54" s="8" t="str">
        <v>B</v>
      </c>
      <c r="H54" s="8">
        <v>20</v>
      </c>
      <c r="I54" s="8"/>
      <c r="J54" s="8"/>
      <c r="K54" s="8"/>
      <c r="L54" s="8"/>
      <c r="M54" s="8"/>
      <c r="N54" s="8"/>
      <c r="O54" s="8"/>
    </row>
    <row r="55" spans="1:15">
      <c r="A55" s="8"/>
      <c r="B55" s="8"/>
      <c r="C55" s="8"/>
      <c r="D55" s="8"/>
      <c r="E55" s="8"/>
      <c r="F55" s="8">
        <v>-0.3</v>
      </c>
      <c r="G55" s="8" t="str">
        <v>C</v>
      </c>
      <c r="H55" s="8">
        <v>30</v>
      </c>
      <c r="I55" s="8"/>
      <c r="J55" s="8"/>
      <c r="K55" s="8"/>
      <c r="L55" s="8"/>
      <c r="M55" s="8"/>
      <c r="N55" s="8"/>
      <c r="O55" s="8"/>
    </row>
    <row r="56" spans="1:15">
      <c r="A56" s="8"/>
      <c r="B56" s="8"/>
      <c r="C56" s="8"/>
      <c r="D56" s="8"/>
      <c r="E56" s="8"/>
      <c r="F56" s="8">
        <v>1</v>
      </c>
      <c r="G56" s="8" t="str">
        <v>A</v>
      </c>
      <c r="H56" s="8">
        <v>40</v>
      </c>
      <c r="I56" s="8"/>
      <c r="J56" s="8"/>
      <c r="K56" s="8"/>
      <c r="L56" s="8"/>
      <c r="M56" s="8"/>
      <c r="N56" s="8"/>
      <c r="O56" s="8"/>
    </row>
    <row r="57" spans="1:15">
      <c r="A57" s="8"/>
      <c r="B57" s="8"/>
      <c r="C57" s="8"/>
      <c r="D57" s="8"/>
      <c r="E57" s="8"/>
      <c r="F57" s="8">
        <v>2</v>
      </c>
      <c r="G57" s="8" t="str">
        <v>B</v>
      </c>
      <c r="H57" s="8">
        <v>50</v>
      </c>
      <c r="I57" s="8"/>
      <c r="J57" s="8"/>
      <c r="K57" s="8"/>
      <c r="L57" s="8"/>
      <c r="M57" s="8"/>
      <c r="N57" s="8"/>
      <c r="O57" s="8"/>
    </row>
    <row r="77" spans="1:15" ht="20.100000000000001" customHeight="1">
      <c r="A77" s="8" t="s">
        <v>1135</v>
      </c>
      <c r="B77" s="8" t="s">
        <v>1126</v>
      </c>
      <c r="C77" s="8" t="s">
        <v>1136</v>
      </c>
      <c r="D77" s="8" t="s">
        <v>127</v>
      </c>
      <c r="E77" s="2" t="s">
        <v>1137</v>
      </c>
      <c r="F77" s="3" cm="1">
        <f t="array" ref="F77:K79">_xlfn.CHOOSEROWS(SharedData!$A$6:$F$10,1,3,5)</f>
        <v>0.1</v>
      </c>
      <c r="G77" s="8" t="str">
        <v>K001</v>
      </c>
      <c r="H77" s="8" t="str">
        <v>A</v>
      </c>
      <c r="I77" s="8">
        <v>43831</v>
      </c>
      <c r="J77" s="8">
        <v>10</v>
      </c>
      <c r="K77" s="8">
        <v>1</v>
      </c>
      <c r="L77" s="8"/>
      <c r="M77" s="6" t="s">
        <v>129</v>
      </c>
      <c r="N77" s="8"/>
      <c r="O77" s="9" t="s">
        <v>130</v>
      </c>
    </row>
    <row r="78" spans="1:15">
      <c r="A78" s="8"/>
      <c r="B78" s="8"/>
      <c r="C78" s="8"/>
      <c r="D78" s="8"/>
      <c r="E78" s="8"/>
      <c r="F78" s="8">
        <v>-0.3</v>
      </c>
      <c r="G78" s="8" t="str">
        <v>K003</v>
      </c>
      <c r="H78" s="8" t="str">
        <v>C</v>
      </c>
      <c r="I78" s="8">
        <v>43893</v>
      </c>
      <c r="J78" s="8">
        <v>30</v>
      </c>
      <c r="K78" s="8">
        <v>3</v>
      </c>
      <c r="L78" s="8"/>
      <c r="M78" s="8"/>
      <c r="N78" s="8"/>
      <c r="O78" s="8"/>
    </row>
    <row r="79" spans="1:15">
      <c r="A79" s="8"/>
      <c r="B79" s="8"/>
      <c r="C79" s="8"/>
      <c r="D79" s="8"/>
      <c r="E79" s="8"/>
      <c r="F79" s="8">
        <v>2</v>
      </c>
      <c r="G79" s="8" t="str">
        <v>K005</v>
      </c>
      <c r="H79" s="8" t="str">
        <v>B</v>
      </c>
      <c r="I79" s="8">
        <v>43955</v>
      </c>
      <c r="J79" s="8">
        <v>50</v>
      </c>
      <c r="K79" s="8">
        <v>5</v>
      </c>
      <c r="L79" s="8"/>
      <c r="M79" s="8"/>
      <c r="N79" s="8"/>
      <c r="O79" s="8"/>
    </row>
    <row r="101" spans="1:15" ht="20.100000000000001" customHeight="1">
      <c r="A101" s="8" t="s">
        <v>1138</v>
      </c>
      <c r="B101" s="8" t="s">
        <v>1126</v>
      </c>
      <c r="C101" s="8" t="s">
        <v>1139</v>
      </c>
      <c r="D101" s="8" t="s">
        <v>127</v>
      </c>
      <c r="E101" s="2" t="s">
        <v>1140</v>
      </c>
      <c r="F101" s="3" t="str" cm="1">
        <f t="array" ref="F101:J108">_xlfn.DROP(SharedData!$A$6:$F$15,2,1)</f>
        <v>K003</v>
      </c>
      <c r="G101" s="8" t="str">
        <v>C</v>
      </c>
      <c r="H101" s="8">
        <v>43893</v>
      </c>
      <c r="I101" s="8">
        <v>30</v>
      </c>
      <c r="J101" s="8">
        <v>3</v>
      </c>
      <c r="K101" s="8"/>
      <c r="L101" s="8"/>
      <c r="M101" s="6" t="s">
        <v>129</v>
      </c>
      <c r="N101" s="8"/>
      <c r="O101" s="9" t="s">
        <v>130</v>
      </c>
    </row>
    <row r="102" spans="1:15">
      <c r="A102" s="8"/>
      <c r="B102" s="8"/>
      <c r="C102" s="8"/>
      <c r="D102" s="8"/>
      <c r="E102" s="8"/>
      <c r="F102" s="8" t="str">
        <v>K004</v>
      </c>
      <c r="G102" s="8" t="str">
        <v>A</v>
      </c>
      <c r="H102" s="8">
        <v>43924</v>
      </c>
      <c r="I102" s="8">
        <v>40</v>
      </c>
      <c r="J102" s="8">
        <v>4</v>
      </c>
      <c r="K102" s="8"/>
      <c r="L102" s="8"/>
      <c r="M102" s="8"/>
      <c r="N102" s="8"/>
      <c r="O102" s="8"/>
    </row>
    <row r="103" spans="1:15">
      <c r="A103" s="8"/>
      <c r="B103" s="8"/>
      <c r="C103" s="8"/>
      <c r="D103" s="8"/>
      <c r="E103" s="8"/>
      <c r="F103" s="8" t="str">
        <v>K005</v>
      </c>
      <c r="G103" s="8" t="str">
        <v>B</v>
      </c>
      <c r="H103" s="8">
        <v>43955</v>
      </c>
      <c r="I103" s="8">
        <v>50</v>
      </c>
      <c r="J103" s="8">
        <v>5</v>
      </c>
      <c r="K103" s="8"/>
      <c r="L103" s="8"/>
      <c r="M103" s="8"/>
      <c r="N103" s="8"/>
      <c r="O103" s="8"/>
    </row>
    <row r="104" spans="1:15">
      <c r="A104" s="8"/>
      <c r="B104" s="8"/>
      <c r="C104" s="8"/>
      <c r="D104" s="8"/>
      <c r="E104" s="8"/>
      <c r="F104" s="8" t="str">
        <v>K006</v>
      </c>
      <c r="G104" s="8" t="str">
        <v>C</v>
      </c>
      <c r="H104" s="8">
        <v>43986</v>
      </c>
      <c r="I104" s="8">
        <v>60</v>
      </c>
      <c r="J104" s="8">
        <v>6</v>
      </c>
      <c r="K104" s="8"/>
      <c r="L104" s="8"/>
      <c r="M104" s="8"/>
      <c r="N104" s="8"/>
      <c r="O104" s="8"/>
    </row>
    <row r="105" spans="1:15">
      <c r="A105" s="8"/>
      <c r="B105" s="8"/>
      <c r="C105" s="8"/>
      <c r="D105" s="8"/>
      <c r="E105" s="8"/>
      <c r="F105" s="8" t="str">
        <v>K007</v>
      </c>
      <c r="G105" s="8" t="str">
        <v>A</v>
      </c>
      <c r="H105" s="8">
        <v>44017</v>
      </c>
      <c r="I105" s="8">
        <v>70</v>
      </c>
      <c r="J105" s="8">
        <v>7</v>
      </c>
      <c r="K105" s="8"/>
      <c r="L105" s="8"/>
      <c r="M105" s="8"/>
      <c r="N105" s="8"/>
      <c r="O105" s="8"/>
    </row>
    <row r="106" spans="1:15">
      <c r="A106" s="8"/>
      <c r="B106" s="8"/>
      <c r="C106" s="8"/>
      <c r="D106" s="8"/>
      <c r="E106" s="8"/>
      <c r="F106" s="8" t="str">
        <v>K008</v>
      </c>
      <c r="G106" s="8" t="str">
        <v>B</v>
      </c>
      <c r="H106" s="8">
        <v>44048</v>
      </c>
      <c r="I106" s="8">
        <v>80</v>
      </c>
      <c r="J106" s="8">
        <v>1</v>
      </c>
      <c r="K106" s="8"/>
      <c r="L106" s="8"/>
      <c r="M106" s="8"/>
      <c r="N106" s="8"/>
      <c r="O106" s="8"/>
    </row>
    <row r="107" spans="1:15">
      <c r="A107" s="8"/>
      <c r="B107" s="8"/>
      <c r="C107" s="8"/>
      <c r="D107" s="8"/>
      <c r="E107" s="8"/>
      <c r="F107" s="8" t="str">
        <v>K009</v>
      </c>
      <c r="G107" s="8" t="str">
        <v>C</v>
      </c>
      <c r="H107" s="8">
        <v>44079</v>
      </c>
      <c r="I107" s="8">
        <v>90</v>
      </c>
      <c r="J107" s="8">
        <v>2</v>
      </c>
      <c r="K107" s="8"/>
      <c r="L107" s="8"/>
      <c r="M107" s="8"/>
      <c r="N107" s="8"/>
      <c r="O107" s="8"/>
    </row>
    <row r="108" spans="1:15">
      <c r="A108" s="8"/>
      <c r="B108" s="8"/>
      <c r="C108" s="8"/>
      <c r="D108" s="8"/>
      <c r="E108" s="8"/>
      <c r="F108" s="8" t="str">
        <v>K010</v>
      </c>
      <c r="G108" s="8" t="str">
        <v>A</v>
      </c>
      <c r="H108" s="8">
        <v>44110</v>
      </c>
      <c r="I108" s="8">
        <v>100</v>
      </c>
      <c r="J108" s="8">
        <v>3</v>
      </c>
      <c r="K108" s="8"/>
      <c r="L108" s="8"/>
      <c r="M108" s="8"/>
      <c r="N108" s="8"/>
      <c r="O108" s="8"/>
    </row>
    <row r="125" spans="1:15" ht="20.100000000000001" customHeight="1">
      <c r="A125" s="8" t="s">
        <v>1141</v>
      </c>
      <c r="B125" s="8" t="s">
        <v>1126</v>
      </c>
      <c r="C125" s="8" t="s">
        <v>1142</v>
      </c>
      <c r="D125" s="8" t="s">
        <v>127</v>
      </c>
      <c r="E125" s="2" t="s">
        <v>1143</v>
      </c>
      <c r="F125" s="3" cm="1">
        <f t="array" ref="F125:I129">_xlfn.EXPAND(SharedData!$A$6:$B$8,5,4,"pad")</f>
        <v>0.1</v>
      </c>
      <c r="G125" s="8" t="str">
        <v>K001</v>
      </c>
      <c r="H125" s="8" t="str">
        <v>pad</v>
      </c>
      <c r="I125" s="8" t="str">
        <v>pad</v>
      </c>
      <c r="J125" s="8"/>
      <c r="K125" s="8"/>
      <c r="L125" s="8"/>
      <c r="M125" s="6" t="s">
        <v>129</v>
      </c>
      <c r="N125" s="8"/>
      <c r="O125" s="9" t="s">
        <v>130</v>
      </c>
    </row>
    <row r="126" spans="1:15">
      <c r="A126" s="8"/>
      <c r="B126" s="8"/>
      <c r="C126" s="8"/>
      <c r="D126" s="8"/>
      <c r="E126" s="8"/>
      <c r="F126" s="8">
        <v>0.2</v>
      </c>
      <c r="G126" s="8" t="str">
        <v>K002</v>
      </c>
      <c r="H126" s="8" t="str">
        <v>pad</v>
      </c>
      <c r="I126" s="8" t="str">
        <v>pad</v>
      </c>
      <c r="J126" s="8"/>
      <c r="K126" s="8"/>
      <c r="L126" s="8"/>
      <c r="M126" s="8"/>
      <c r="N126" s="8"/>
      <c r="O126" s="8"/>
    </row>
    <row r="127" spans="1:15">
      <c r="A127" s="8"/>
      <c r="B127" s="8"/>
      <c r="C127" s="8"/>
      <c r="D127" s="8"/>
      <c r="E127" s="8"/>
      <c r="F127" s="8">
        <v>-0.3</v>
      </c>
      <c r="G127" s="8" t="str">
        <v>K003</v>
      </c>
      <c r="H127" s="8" t="str">
        <v>pad</v>
      </c>
      <c r="I127" s="8" t="str">
        <v>pad</v>
      </c>
      <c r="J127" s="8"/>
      <c r="K127" s="8"/>
      <c r="L127" s="8"/>
      <c r="M127" s="8"/>
      <c r="N127" s="8"/>
      <c r="O127" s="8"/>
    </row>
    <row r="128" spans="1:15">
      <c r="A128" s="8"/>
      <c r="B128" s="8"/>
      <c r="C128" s="8"/>
      <c r="D128" s="8"/>
      <c r="E128" s="8"/>
      <c r="F128" s="8" t="str">
        <v>pad</v>
      </c>
      <c r="G128" s="8" t="str">
        <v>pad</v>
      </c>
      <c r="H128" s="8" t="str">
        <v>pad</v>
      </c>
      <c r="I128" s="8" t="str">
        <v>pad</v>
      </c>
      <c r="J128" s="8"/>
      <c r="K128" s="8"/>
      <c r="L128" s="8"/>
      <c r="M128" s="8"/>
      <c r="N128" s="8"/>
      <c r="O128" s="8"/>
    </row>
    <row r="129" spans="6:9">
      <c r="F129" s="8" t="str">
        <v>pad</v>
      </c>
      <c r="G129" s="8" t="str">
        <v>pad</v>
      </c>
      <c r="H129" s="8" t="str">
        <v>pad</v>
      </c>
      <c r="I129" s="8" t="str">
        <v>pad</v>
      </c>
    </row>
    <row r="149" spans="1:15" ht="20.100000000000001" customHeight="1">
      <c r="A149" s="8" t="s">
        <v>1144</v>
      </c>
      <c r="B149" s="8" t="s">
        <v>1126</v>
      </c>
      <c r="C149" s="8" t="s">
        <v>1145</v>
      </c>
      <c r="D149" s="8" t="s">
        <v>127</v>
      </c>
      <c r="E149" s="2" t="s">
        <v>1146</v>
      </c>
      <c r="F149" s="3" cm="1">
        <f t="array" ref="F149:J155">_xlfn._xlws.FILTER(SharedData!$A$6:$E$25,SharedData!$C$6:$C$25="A","none")</f>
        <v>0.1</v>
      </c>
      <c r="G149" s="8" t="str">
        <v>K001</v>
      </c>
      <c r="H149" s="8" t="str">
        <v>A</v>
      </c>
      <c r="I149" s="8">
        <v>43831</v>
      </c>
      <c r="J149" s="8">
        <v>10</v>
      </c>
      <c r="K149" s="8"/>
      <c r="L149" s="8"/>
      <c r="M149" s="6" t="s">
        <v>129</v>
      </c>
      <c r="N149" s="8"/>
      <c r="O149" s="9" t="s">
        <v>130</v>
      </c>
    </row>
    <row r="150" spans="1:15">
      <c r="A150" s="8"/>
      <c r="B150" s="8"/>
      <c r="C150" s="8"/>
      <c r="D150" s="8"/>
      <c r="E150" s="8"/>
      <c r="F150" s="8">
        <v>1</v>
      </c>
      <c r="G150" s="8" t="str">
        <v>K004</v>
      </c>
      <c r="H150" s="8" t="str">
        <v>A</v>
      </c>
      <c r="I150" s="8">
        <v>43924</v>
      </c>
      <c r="J150" s="8">
        <v>40</v>
      </c>
      <c r="K150" s="8"/>
      <c r="L150" s="8"/>
      <c r="M150" s="8"/>
      <c r="N150" s="8"/>
      <c r="O150" s="8"/>
    </row>
    <row r="151" spans="1:15">
      <c r="A151" s="8"/>
      <c r="B151" s="8"/>
      <c r="C151" s="8"/>
      <c r="D151" s="8"/>
      <c r="E151" s="8"/>
      <c r="F151" s="8">
        <v>4</v>
      </c>
      <c r="G151" s="8" t="str">
        <v>K007</v>
      </c>
      <c r="H151" s="8" t="str">
        <v>A</v>
      </c>
      <c r="I151" s="8">
        <v>44017</v>
      </c>
      <c r="J151" s="8">
        <v>70</v>
      </c>
      <c r="K151" s="8"/>
      <c r="L151" s="8"/>
      <c r="M151" s="8"/>
      <c r="N151" s="8"/>
      <c r="O151" s="8"/>
    </row>
    <row r="152" spans="1:15">
      <c r="A152" s="8"/>
      <c r="B152" s="8"/>
      <c r="C152" s="8"/>
      <c r="D152" s="8"/>
      <c r="E152" s="8"/>
      <c r="F152" s="8">
        <v>-10</v>
      </c>
      <c r="G152" s="8" t="str">
        <v>K010</v>
      </c>
      <c r="H152" s="8" t="str">
        <v>A</v>
      </c>
      <c r="I152" s="8">
        <v>44110</v>
      </c>
      <c r="J152" s="8">
        <v>100</v>
      </c>
      <c r="K152" s="8"/>
      <c r="L152" s="8"/>
      <c r="M152" s="8"/>
      <c r="N152" s="8"/>
      <c r="O152" s="8"/>
    </row>
    <row r="153" spans="1:15">
      <c r="A153" s="8"/>
      <c r="B153" s="8"/>
      <c r="C153" s="8"/>
      <c r="D153" s="8"/>
      <c r="E153" s="8"/>
      <c r="F153" s="8">
        <v>0</v>
      </c>
      <c r="G153" s="8" t="str">
        <v>K013</v>
      </c>
      <c r="H153" s="8" t="str">
        <v>A</v>
      </c>
      <c r="I153" s="8">
        <v>44203</v>
      </c>
      <c r="J153" s="8">
        <v>130</v>
      </c>
      <c r="K153" s="8"/>
      <c r="L153" s="8"/>
      <c r="M153" s="8"/>
      <c r="N153" s="8"/>
      <c r="O153" s="8"/>
    </row>
    <row r="154" spans="1:15">
      <c r="A154" s="8"/>
      <c r="B154" s="8"/>
      <c r="C154" s="8"/>
      <c r="D154" s="8"/>
      <c r="E154" s="8"/>
      <c r="F154" s="8">
        <v>3.5</v>
      </c>
      <c r="G154" s="8" t="str">
        <v>K016</v>
      </c>
      <c r="H154" s="8" t="str">
        <v>A</v>
      </c>
      <c r="I154" s="8">
        <v>44296</v>
      </c>
      <c r="J154" s="8">
        <v>160</v>
      </c>
      <c r="K154" s="8"/>
      <c r="L154" s="8"/>
      <c r="M154" s="8"/>
      <c r="N154" s="8"/>
      <c r="O154" s="8"/>
    </row>
    <row r="155" spans="1:15">
      <c r="A155" s="8"/>
      <c r="B155" s="8"/>
      <c r="C155" s="8"/>
      <c r="D155" s="8"/>
      <c r="E155" s="8"/>
      <c r="F155" s="8">
        <v>0.05</v>
      </c>
      <c r="G155" s="8" t="str">
        <v>K019</v>
      </c>
      <c r="H155" s="8" t="str">
        <v>A</v>
      </c>
      <c r="I155" s="8">
        <v>44389</v>
      </c>
      <c r="J155" s="8">
        <v>190</v>
      </c>
      <c r="K155" s="8"/>
      <c r="L155" s="8"/>
      <c r="M155" s="8"/>
      <c r="N155" s="8"/>
      <c r="O155" s="8"/>
    </row>
    <row r="173" spans="1:15" ht="20.100000000000001" customHeight="1">
      <c r="A173" s="8" t="s">
        <v>1147</v>
      </c>
      <c r="B173" s="8" t="s">
        <v>1126</v>
      </c>
      <c r="C173" s="8" t="s">
        <v>1148</v>
      </c>
      <c r="D173" s="8" t="s">
        <v>127</v>
      </c>
      <c r="E173" s="2" t="s">
        <v>1149</v>
      </c>
      <c r="F173" s="3" cm="1">
        <f t="array" ref="F173:F176">FREQUENCY(SharedData!$E$6:$E$25,{50,100,150})</f>
        <v>5</v>
      </c>
      <c r="G173" s="8"/>
      <c r="H173" s="8"/>
      <c r="I173" s="8"/>
      <c r="J173" s="8"/>
      <c r="K173" s="8"/>
      <c r="L173" s="8"/>
      <c r="M173" s="6" t="s">
        <v>129</v>
      </c>
      <c r="N173" s="8"/>
      <c r="O173" s="9" t="s">
        <v>130</v>
      </c>
    </row>
    <row r="174" spans="1:15">
      <c r="A174" s="8"/>
      <c r="B174" s="8"/>
      <c r="C174" s="8"/>
      <c r="D174" s="8"/>
      <c r="E174" s="8"/>
      <c r="F174" s="8">
        <v>5</v>
      </c>
      <c r="G174" s="8"/>
      <c r="H174" s="8"/>
      <c r="I174" s="8"/>
      <c r="J174" s="8"/>
      <c r="K174" s="8"/>
      <c r="L174" s="8"/>
      <c r="M174" s="8"/>
      <c r="N174" s="8"/>
      <c r="O174" s="8"/>
    </row>
    <row r="175" spans="1:15">
      <c r="A175" s="8"/>
      <c r="B175" s="8"/>
      <c r="C175" s="8"/>
      <c r="D175" s="8"/>
      <c r="E175" s="8"/>
      <c r="F175" s="8">
        <v>5</v>
      </c>
      <c r="G175" s="8"/>
      <c r="H175" s="8"/>
      <c r="I175" s="8"/>
      <c r="J175" s="8"/>
      <c r="K175" s="8"/>
      <c r="L175" s="8"/>
      <c r="M175" s="8"/>
      <c r="N175" s="8"/>
      <c r="O175" s="8"/>
    </row>
    <row r="176" spans="1:15">
      <c r="A176" s="8"/>
      <c r="B176" s="8"/>
      <c r="C176" s="8"/>
      <c r="D176" s="8"/>
      <c r="E176" s="8"/>
      <c r="F176" s="8">
        <v>5</v>
      </c>
      <c r="G176" s="8"/>
      <c r="H176" s="8"/>
      <c r="I176" s="8"/>
      <c r="J176" s="8"/>
      <c r="K176" s="8"/>
      <c r="L176" s="8"/>
      <c r="M176" s="8"/>
      <c r="N176" s="8"/>
      <c r="O176" s="8"/>
    </row>
    <row r="197" spans="1:15" ht="20.100000000000001" customHeight="1">
      <c r="A197" s="8" t="s">
        <v>1150</v>
      </c>
      <c r="B197" s="8" t="s">
        <v>1126</v>
      </c>
      <c r="C197" s="8" t="s">
        <v>1151</v>
      </c>
      <c r="D197" s="8" t="s">
        <v>127</v>
      </c>
      <c r="E197" s="2" t="s">
        <v>1152</v>
      </c>
      <c r="F197" s="3" t="str" cm="1">
        <f t="array" ref="F197:G200">_xlfn.GROUPBY(SharedData!$C$6:$C$25,SharedData!$E$6:$E$25,_xleta.SUM)</f>
        <v>A</v>
      </c>
      <c r="G197" s="8">
        <v>700</v>
      </c>
      <c r="H197" s="8"/>
      <c r="I197" s="8"/>
      <c r="J197" s="8"/>
      <c r="K197" s="8"/>
      <c r="L197" s="8"/>
      <c r="M197" s="6" t="s">
        <v>129</v>
      </c>
      <c r="N197" s="3" t="str">
        <f>IF(ISERROR(F197),"ERROR "&amp;IFERROR(ERROR.TYPE(F197),""),"OK")</f>
        <v>OK</v>
      </c>
      <c r="O197" s="9" t="s">
        <v>130</v>
      </c>
    </row>
    <row r="198" spans="1:15">
      <c r="A198" s="8"/>
      <c r="B198" s="8"/>
      <c r="C198" s="8"/>
      <c r="D198" s="8"/>
      <c r="E198" s="8"/>
      <c r="F198" s="8" t="str">
        <v>B</v>
      </c>
      <c r="G198" s="8">
        <v>770</v>
      </c>
      <c r="H198" s="8"/>
      <c r="I198" s="8"/>
      <c r="J198" s="8"/>
      <c r="K198" s="8"/>
      <c r="L198" s="8"/>
      <c r="M198" s="8"/>
      <c r="N198" s="8"/>
      <c r="O198" s="8"/>
    </row>
    <row r="199" spans="1:15">
      <c r="A199" s="8"/>
      <c r="B199" s="8"/>
      <c r="C199" s="8"/>
      <c r="D199" s="8"/>
      <c r="E199" s="8"/>
      <c r="F199" s="8" t="str">
        <v>C</v>
      </c>
      <c r="G199" s="8">
        <v>630</v>
      </c>
      <c r="H199" s="8"/>
      <c r="I199" s="8"/>
      <c r="J199" s="8"/>
      <c r="K199" s="8"/>
      <c r="L199" s="8"/>
      <c r="M199" s="8"/>
      <c r="N199" s="8"/>
      <c r="O199" s="8"/>
    </row>
    <row r="200" spans="1:15">
      <c r="A200" s="8"/>
      <c r="B200" s="8"/>
      <c r="C200" s="8"/>
      <c r="D200" s="8"/>
      <c r="E200" s="8"/>
      <c r="F200" s="8" t="str">
        <v>합계</v>
      </c>
      <c r="G200" s="8">
        <v>2100</v>
      </c>
      <c r="H200" s="8"/>
      <c r="I200" s="8"/>
      <c r="J200" s="8"/>
      <c r="K200" s="8"/>
      <c r="L200" s="8"/>
      <c r="M200" s="8"/>
      <c r="N200" s="8"/>
      <c r="O200" s="8"/>
    </row>
    <row r="221" spans="1:15" ht="20.100000000000001" customHeight="1">
      <c r="A221" s="8" t="s">
        <v>1153</v>
      </c>
      <c r="B221" s="8" t="s">
        <v>1126</v>
      </c>
      <c r="C221" s="8" t="s">
        <v>1154</v>
      </c>
      <c r="D221" s="8" t="s">
        <v>127</v>
      </c>
      <c r="E221" s="2" t="s">
        <v>1155</v>
      </c>
      <c r="F221" s="3" cm="1">
        <f t="array" ref="F221:H221">GROWTH(SharedData!$J$6:$J$15,SharedData!$I$6:$I$15,{21,22,23})</f>
        <v>154.13570030937419</v>
      </c>
      <c r="G221" s="8">
        <v>181.11018927808857</v>
      </c>
      <c r="H221" s="8">
        <v>212.80534356744474</v>
      </c>
      <c r="I221" s="8"/>
      <c r="J221" s="8"/>
      <c r="K221" s="8"/>
      <c r="L221" s="8"/>
      <c r="M221" s="6" t="s">
        <v>129</v>
      </c>
      <c r="N221" s="8"/>
      <c r="O221" s="9" t="s">
        <v>130</v>
      </c>
    </row>
    <row r="245" spans="1:15" ht="20.100000000000001" customHeight="1">
      <c r="A245" s="8" t="s">
        <v>1156</v>
      </c>
      <c r="B245" s="8" t="s">
        <v>1126</v>
      </c>
      <c r="C245" s="8" t="s">
        <v>1157</v>
      </c>
      <c r="D245" s="8" t="s">
        <v>127</v>
      </c>
      <c r="E245" s="2" t="s">
        <v>1158</v>
      </c>
      <c r="F245" s="3" cm="1">
        <f t="array" ref="F245:G249">_xlfn.HSTACK(SharedData!$A$6:$A$10,SharedData!$E$6:$E$10)</f>
        <v>0.1</v>
      </c>
      <c r="G245" s="8">
        <v>10</v>
      </c>
      <c r="H245" s="8"/>
      <c r="I245" s="8"/>
      <c r="J245" s="8"/>
      <c r="K245" s="8"/>
      <c r="L245" s="8"/>
      <c r="M245" s="6" t="s">
        <v>129</v>
      </c>
      <c r="N245" s="8"/>
      <c r="O245" s="9" t="s">
        <v>130</v>
      </c>
    </row>
    <row r="246" spans="1:15">
      <c r="A246" s="8"/>
      <c r="B246" s="8"/>
      <c r="C246" s="8"/>
      <c r="D246" s="8"/>
      <c r="E246" s="8"/>
      <c r="F246" s="8">
        <v>0.2</v>
      </c>
      <c r="G246" s="8">
        <v>20</v>
      </c>
      <c r="H246" s="8"/>
      <c r="I246" s="8"/>
      <c r="J246" s="8"/>
      <c r="K246" s="8"/>
      <c r="L246" s="8"/>
      <c r="M246" s="8"/>
      <c r="N246" s="8"/>
      <c r="O246" s="8"/>
    </row>
    <row r="247" spans="1:15">
      <c r="A247" s="8"/>
      <c r="B247" s="8"/>
      <c r="C247" s="8"/>
      <c r="D247" s="8"/>
      <c r="E247" s="8"/>
      <c r="F247" s="8">
        <v>-0.3</v>
      </c>
      <c r="G247" s="8">
        <v>30</v>
      </c>
      <c r="H247" s="8"/>
      <c r="I247" s="8"/>
      <c r="J247" s="8"/>
      <c r="K247" s="8"/>
      <c r="L247" s="8"/>
      <c r="M247" s="8"/>
      <c r="N247" s="8"/>
      <c r="O247" s="8"/>
    </row>
    <row r="248" spans="1:15">
      <c r="A248" s="8"/>
      <c r="B248" s="8"/>
      <c r="C248" s="8"/>
      <c r="D248" s="8"/>
      <c r="E248" s="8"/>
      <c r="F248" s="8">
        <v>1</v>
      </c>
      <c r="G248" s="8">
        <v>40</v>
      </c>
      <c r="H248" s="8"/>
      <c r="I248" s="8"/>
      <c r="J248" s="8"/>
      <c r="K248" s="8"/>
      <c r="L248" s="8"/>
      <c r="M248" s="8"/>
      <c r="N248" s="8"/>
      <c r="O248" s="8"/>
    </row>
    <row r="249" spans="1:15">
      <c r="A249" s="8"/>
      <c r="B249" s="8"/>
      <c r="C249" s="8"/>
      <c r="D249" s="8"/>
      <c r="E249" s="8"/>
      <c r="F249" s="8">
        <v>2</v>
      </c>
      <c r="G249" s="8">
        <v>50</v>
      </c>
      <c r="H249" s="8"/>
      <c r="I249" s="8"/>
      <c r="J249" s="8"/>
      <c r="K249" s="8"/>
      <c r="L249" s="8"/>
      <c r="M249" s="8"/>
      <c r="N249" s="8"/>
      <c r="O249" s="8"/>
    </row>
    <row r="269" spans="1:15" ht="20.100000000000001" customHeight="1">
      <c r="A269" s="8" t="s">
        <v>1159</v>
      </c>
      <c r="B269" s="8" t="s">
        <v>1126</v>
      </c>
      <c r="C269" s="8" t="s">
        <v>1160</v>
      </c>
      <c r="D269" s="8" t="s">
        <v>127</v>
      </c>
      <c r="E269" s="2" t="s">
        <v>1161</v>
      </c>
      <c r="F269" s="3" cm="1">
        <f t="array" ref="F269">_xlfn.LAMBDA(_xlpm.x,_xlpm.x^2+1)(5)</f>
        <v>26</v>
      </c>
      <c r="G269" s="8"/>
      <c r="H269" s="8"/>
      <c r="I269" s="8"/>
      <c r="J269" s="8"/>
      <c r="K269" s="8"/>
      <c r="L269" s="8"/>
      <c r="M269" s="6" t="s">
        <v>129</v>
      </c>
      <c r="N269" s="8"/>
      <c r="O269" s="9" t="s">
        <v>130</v>
      </c>
    </row>
    <row r="293" spans="1:16" ht="20.100000000000001" customHeight="1">
      <c r="A293" s="8" t="s">
        <v>1162</v>
      </c>
      <c r="B293" s="8" t="s">
        <v>1126</v>
      </c>
      <c r="C293" s="8" t="s">
        <v>1163</v>
      </c>
      <c r="D293" s="8" t="s">
        <v>127</v>
      </c>
      <c r="E293" s="2" t="s">
        <v>1164</v>
      </c>
      <c r="F293" s="3" cm="1">
        <f t="array" ref="F293">_xlfn.LET(_xlpm.x,SUM(SharedData!$E$6:$E$25),_xlpm.y,AVERAGE(SharedData!$F$6:$F$25),_xlpm.x/_xlpm.y)</f>
        <v>545.4545454545455</v>
      </c>
      <c r="G293" s="8"/>
      <c r="H293" s="8"/>
      <c r="I293" s="8"/>
      <c r="J293" s="8"/>
      <c r="K293" s="8"/>
      <c r="L293" s="8"/>
      <c r="M293" s="6" t="s">
        <v>129</v>
      </c>
      <c r="N293" s="8"/>
      <c r="O293" s="9" t="s">
        <v>130</v>
      </c>
      <c r="P293" s="3">
        <f>IFERROR(N(F293),0)+IFERROR(N(ArraysCSE!$F$5),0)+ROW()/100000</f>
        <v>1245.4574754545456</v>
      </c>
    </row>
    <row r="317" spans="1:15" ht="20.100000000000001" customHeight="1">
      <c r="A317" s="8" t="s">
        <v>1165</v>
      </c>
      <c r="B317" s="8" t="s">
        <v>1126</v>
      </c>
      <c r="C317" s="8" t="s">
        <v>1166</v>
      </c>
      <c r="D317" s="8" t="s">
        <v>127</v>
      </c>
      <c r="E317" s="2" t="s">
        <v>1167</v>
      </c>
      <c r="F317" s="3" cm="1">
        <f t="array" ref="F317:G321">LINEST(SharedData!$J$6:$J$25,SharedData!$I$6:$I$25,TRUE,TRUE)</f>
        <v>2</v>
      </c>
      <c r="G317" s="8">
        <v>3</v>
      </c>
      <c r="H317" s="8"/>
      <c r="I317" s="8"/>
      <c r="J317" s="8"/>
      <c r="K317" s="8"/>
      <c r="L317" s="8"/>
      <c r="M317" s="6" t="s">
        <v>129</v>
      </c>
      <c r="N317" s="8"/>
      <c r="O317" s="9" t="s">
        <v>130</v>
      </c>
    </row>
    <row r="318" spans="1:15">
      <c r="A318" s="8"/>
      <c r="B318" s="8"/>
      <c r="C318" s="8"/>
      <c r="D318" s="8"/>
      <c r="E318" s="8"/>
      <c r="F318" s="8">
        <v>0</v>
      </c>
      <c r="G318" s="8">
        <v>0</v>
      </c>
      <c r="H318" s="8"/>
      <c r="I318" s="8"/>
      <c r="J318" s="8"/>
      <c r="K318" s="8"/>
      <c r="L318" s="8"/>
      <c r="M318" s="8"/>
      <c r="N318" s="8"/>
      <c r="O318" s="8"/>
    </row>
    <row r="319" spans="1:15">
      <c r="A319" s="8"/>
      <c r="B319" s="8"/>
      <c r="C319" s="8"/>
      <c r="D319" s="8"/>
      <c r="E319" s="8"/>
      <c r="F319" s="8">
        <v>1</v>
      </c>
      <c r="G319" s="8">
        <v>0</v>
      </c>
      <c r="H319" s="8"/>
      <c r="I319" s="8"/>
      <c r="J319" s="8"/>
      <c r="K319" s="8"/>
      <c r="L319" s="8"/>
      <c r="M319" s="8"/>
      <c r="N319" s="8"/>
      <c r="O319" s="8"/>
    </row>
    <row r="320" spans="1:15">
      <c r="A320" s="8"/>
      <c r="B320" s="8"/>
      <c r="C320" s="8"/>
      <c r="D320" s="8"/>
      <c r="E320" s="8"/>
      <c r="F320" s="8" t="e">
        <v>#NUM!</v>
      </c>
      <c r="G320" s="8">
        <v>18</v>
      </c>
      <c r="H320" s="8"/>
      <c r="I320" s="8"/>
      <c r="J320" s="8"/>
      <c r="K320" s="8"/>
      <c r="L320" s="8"/>
      <c r="M320" s="8"/>
      <c r="N320" s="8"/>
      <c r="O320" s="8"/>
    </row>
    <row r="321" spans="6:7">
      <c r="F321" s="8">
        <v>2660</v>
      </c>
      <c r="G321" s="8">
        <v>0</v>
      </c>
    </row>
    <row r="341" spans="1:15" ht="20.100000000000001" customHeight="1">
      <c r="A341" s="8" t="s">
        <v>1168</v>
      </c>
      <c r="B341" s="8" t="s">
        <v>1126</v>
      </c>
      <c r="C341" s="8" t="s">
        <v>1169</v>
      </c>
      <c r="D341" s="8" t="s">
        <v>127</v>
      </c>
      <c r="E341" s="2" t="s">
        <v>1170</v>
      </c>
      <c r="F341" s="3" cm="1">
        <f t="array" ref="F341:G345">LOGEST(SharedData!$J$6:$J$15,SharedData!$I$6:$I$15,TRUE,TRUE)</f>
        <v>1.1750048101417936</v>
      </c>
      <c r="G341" s="8">
        <v>5.2127957150321569</v>
      </c>
      <c r="H341" s="8"/>
      <c r="I341" s="8"/>
      <c r="J341" s="8"/>
      <c r="K341" s="8"/>
      <c r="L341" s="8"/>
      <c r="M341" s="6" t="s">
        <v>129</v>
      </c>
      <c r="N341" s="8"/>
      <c r="O341" s="9" t="s">
        <v>130</v>
      </c>
    </row>
    <row r="342" spans="1:15">
      <c r="A342" s="8"/>
      <c r="B342" s="8"/>
      <c r="C342" s="8"/>
      <c r="D342" s="8"/>
      <c r="E342" s="8"/>
      <c r="F342" s="8">
        <v>1.2209382252921591E-2</v>
      </c>
      <c r="G342" s="8">
        <v>7.5757224588954772E-2</v>
      </c>
      <c r="H342" s="8"/>
      <c r="I342" s="8"/>
      <c r="J342" s="8"/>
      <c r="K342" s="8"/>
      <c r="L342" s="8"/>
      <c r="M342" s="8"/>
      <c r="N342" s="8"/>
      <c r="O342" s="8"/>
    </row>
    <row r="343" spans="1:15">
      <c r="A343" s="8"/>
      <c r="B343" s="8"/>
      <c r="C343" s="8"/>
      <c r="D343" s="8"/>
      <c r="E343" s="8"/>
      <c r="F343" s="8">
        <v>0.95615824800202631</v>
      </c>
      <c r="G343" s="8">
        <v>0.11089722150410905</v>
      </c>
      <c r="H343" s="8"/>
      <c r="I343" s="8"/>
      <c r="J343" s="8"/>
      <c r="K343" s="8"/>
      <c r="L343" s="8"/>
      <c r="M343" s="8"/>
      <c r="N343" s="8"/>
      <c r="O343" s="8"/>
    </row>
    <row r="344" spans="1:15">
      <c r="A344" s="8"/>
      <c r="B344" s="8"/>
      <c r="C344" s="8"/>
      <c r="D344" s="8"/>
      <c r="E344" s="8"/>
      <c r="F344" s="8">
        <v>174.47445951452295</v>
      </c>
      <c r="G344" s="8">
        <v>8</v>
      </c>
      <c r="H344" s="8"/>
      <c r="I344" s="8"/>
      <c r="J344" s="8"/>
      <c r="K344" s="8"/>
      <c r="L344" s="8"/>
      <c r="M344" s="8"/>
      <c r="N344" s="8"/>
      <c r="O344" s="8"/>
    </row>
    <row r="345" spans="1:15">
      <c r="A345" s="8"/>
      <c r="B345" s="8"/>
      <c r="C345" s="8"/>
      <c r="D345" s="8"/>
      <c r="E345" s="8"/>
      <c r="F345" s="8">
        <v>2.1457207053257918</v>
      </c>
      <c r="G345" s="8">
        <v>9.838554989865142E-2</v>
      </c>
      <c r="H345" s="8"/>
      <c r="I345" s="8"/>
      <c r="J345" s="8"/>
      <c r="K345" s="8"/>
      <c r="L345" s="8"/>
      <c r="M345" s="8"/>
      <c r="N345" s="8"/>
      <c r="O345" s="8"/>
    </row>
    <row r="365" spans="1:15" ht="20.100000000000001" customHeight="1">
      <c r="A365" s="8" t="s">
        <v>1171</v>
      </c>
      <c r="B365" s="8" t="s">
        <v>1126</v>
      </c>
      <c r="C365" s="8" t="s">
        <v>1172</v>
      </c>
      <c r="D365" s="8" t="s">
        <v>127</v>
      </c>
      <c r="E365" s="2" t="s">
        <v>1173</v>
      </c>
      <c r="F365" s="3" cm="1">
        <f t="array" ref="F365:I368">_xlfn.MAKEARRAY(4,4,_xlfn.LAMBDA(_xlpm.i,_xlpm.j,_xlpm.i*100+_xlpm.j))</f>
        <v>101</v>
      </c>
      <c r="G365" s="8">
        <v>102</v>
      </c>
      <c r="H365" s="8">
        <v>103</v>
      </c>
      <c r="I365" s="8">
        <v>104</v>
      </c>
      <c r="J365" s="8"/>
      <c r="K365" s="8"/>
      <c r="L365" s="8"/>
      <c r="M365" s="6" t="s">
        <v>129</v>
      </c>
      <c r="N365" s="8"/>
      <c r="O365" s="9" t="s">
        <v>130</v>
      </c>
    </row>
    <row r="366" spans="1:15">
      <c r="A366" s="8"/>
      <c r="B366" s="8"/>
      <c r="C366" s="8"/>
      <c r="D366" s="8"/>
      <c r="E366" s="8"/>
      <c r="F366" s="8">
        <v>201</v>
      </c>
      <c r="G366" s="8">
        <v>202</v>
      </c>
      <c r="H366" s="8">
        <v>203</v>
      </c>
      <c r="I366" s="8">
        <v>204</v>
      </c>
      <c r="J366" s="8"/>
      <c r="K366" s="8"/>
      <c r="L366" s="8"/>
      <c r="M366" s="8"/>
      <c r="N366" s="8"/>
      <c r="O366" s="8"/>
    </row>
    <row r="367" spans="1:15">
      <c r="A367" s="8"/>
      <c r="B367" s="8"/>
      <c r="C367" s="8"/>
      <c r="D367" s="8"/>
      <c r="E367" s="8"/>
      <c r="F367" s="8">
        <v>301</v>
      </c>
      <c r="G367" s="8">
        <v>302</v>
      </c>
      <c r="H367" s="8">
        <v>303</v>
      </c>
      <c r="I367" s="8">
        <v>304</v>
      </c>
      <c r="J367" s="8"/>
      <c r="K367" s="8"/>
      <c r="L367" s="8"/>
      <c r="M367" s="8"/>
      <c r="N367" s="8"/>
      <c r="O367" s="8"/>
    </row>
    <row r="368" spans="1:15">
      <c r="A368" s="8"/>
      <c r="B368" s="8"/>
      <c r="C368" s="8"/>
      <c r="D368" s="8"/>
      <c r="E368" s="8"/>
      <c r="F368" s="8">
        <v>401</v>
      </c>
      <c r="G368" s="8">
        <v>402</v>
      </c>
      <c r="H368" s="8">
        <v>403</v>
      </c>
      <c r="I368" s="8">
        <v>404</v>
      </c>
      <c r="J368" s="8"/>
      <c r="K368" s="8"/>
      <c r="L368" s="8"/>
      <c r="M368" s="8"/>
      <c r="N368" s="8"/>
      <c r="O368" s="8"/>
    </row>
    <row r="389" spans="1:15" ht="20.100000000000001" customHeight="1">
      <c r="A389" s="8" t="s">
        <v>1174</v>
      </c>
      <c r="B389" s="8" t="s">
        <v>1126</v>
      </c>
      <c r="C389" s="8" t="s">
        <v>1175</v>
      </c>
      <c r="D389" s="8" t="s">
        <v>127</v>
      </c>
      <c r="E389" s="2" t="s">
        <v>1176</v>
      </c>
      <c r="F389" s="3" cm="1">
        <f t="array" ref="F389:F393">_xlfn.MAP(SharedData!$E$6:$E$10,_xlfn.LAMBDA(_xlpm.x,_xlpm.x*1.1))</f>
        <v>11</v>
      </c>
      <c r="G389" s="8"/>
      <c r="H389" s="8"/>
      <c r="I389" s="8"/>
      <c r="J389" s="8"/>
      <c r="K389" s="8"/>
      <c r="L389" s="8"/>
      <c r="M389" s="6" t="s">
        <v>129</v>
      </c>
      <c r="N389" s="3" t="str">
        <f>IF(ISERROR(F389),"ERROR "&amp;IFERROR(ERROR.TYPE(F389),""),"OK")</f>
        <v>OK</v>
      </c>
      <c r="O389" s="9" t="s">
        <v>130</v>
      </c>
    </row>
    <row r="390" spans="1:15">
      <c r="A390" s="8"/>
      <c r="B390" s="8"/>
      <c r="C390" s="8"/>
      <c r="D390" s="8"/>
      <c r="E390" s="8"/>
      <c r="F390" s="8">
        <v>22</v>
      </c>
      <c r="G390" s="8"/>
      <c r="H390" s="8"/>
      <c r="I390" s="8"/>
      <c r="J390" s="8"/>
      <c r="K390" s="8"/>
      <c r="L390" s="8"/>
      <c r="M390" s="8"/>
      <c r="N390" s="8"/>
      <c r="O390" s="8"/>
    </row>
    <row r="391" spans="1:15">
      <c r="A391" s="8"/>
      <c r="B391" s="8"/>
      <c r="C391" s="8"/>
      <c r="D391" s="8"/>
      <c r="E391" s="8"/>
      <c r="F391" s="8">
        <v>33</v>
      </c>
      <c r="G391" s="8"/>
      <c r="H391" s="8"/>
      <c r="I391" s="8"/>
      <c r="J391" s="8"/>
      <c r="K391" s="8"/>
      <c r="L391" s="8"/>
      <c r="M391" s="8"/>
      <c r="N391" s="8"/>
      <c r="O391" s="8"/>
    </row>
    <row r="392" spans="1:15">
      <c r="A392" s="8"/>
      <c r="B392" s="8"/>
      <c r="C392" s="8"/>
      <c r="D392" s="8"/>
      <c r="E392" s="8"/>
      <c r="F392" s="8">
        <v>44</v>
      </c>
      <c r="G392" s="8"/>
      <c r="H392" s="8"/>
      <c r="I392" s="8"/>
      <c r="J392" s="8"/>
      <c r="K392" s="8"/>
      <c r="L392" s="8"/>
      <c r="M392" s="8"/>
      <c r="N392" s="8"/>
      <c r="O392" s="8"/>
    </row>
    <row r="393" spans="1:15">
      <c r="A393" s="8"/>
      <c r="B393" s="8"/>
      <c r="C393" s="8"/>
      <c r="D393" s="8"/>
      <c r="E393" s="8"/>
      <c r="F393" s="8">
        <v>55.000000000000007</v>
      </c>
      <c r="G393" s="8"/>
      <c r="H393" s="8"/>
      <c r="I393" s="8"/>
      <c r="J393" s="8"/>
      <c r="K393" s="8"/>
      <c r="L393" s="8"/>
      <c r="M393" s="8"/>
      <c r="N393" s="8"/>
      <c r="O393" s="8"/>
    </row>
    <row r="413" spans="1:15" ht="20.100000000000001" customHeight="1">
      <c r="A413" s="8" t="s">
        <v>1177</v>
      </c>
      <c r="B413" s="8" t="s">
        <v>1126</v>
      </c>
      <c r="C413" s="8" t="s">
        <v>1178</v>
      </c>
      <c r="D413" s="8" t="s">
        <v>127</v>
      </c>
      <c r="E413" s="2" t="s">
        <v>1179</v>
      </c>
      <c r="F413" s="3" cm="1">
        <f t="array" ref="F413:G414">MINVERSE({4,7;2,6})</f>
        <v>0.60000000000000009</v>
      </c>
      <c r="G413" s="8">
        <v>-0.70000000000000007</v>
      </c>
      <c r="H413" s="8"/>
      <c r="I413" s="8"/>
      <c r="J413" s="8"/>
      <c r="K413" s="8"/>
      <c r="L413" s="8"/>
      <c r="M413" s="6" t="s">
        <v>129</v>
      </c>
      <c r="N413" s="8"/>
      <c r="O413" s="9" t="s">
        <v>130</v>
      </c>
    </row>
    <row r="414" spans="1:15">
      <c r="A414" s="8"/>
      <c r="B414" s="8"/>
      <c r="C414" s="8"/>
      <c r="D414" s="8"/>
      <c r="E414" s="8"/>
      <c r="F414" s="8">
        <v>-0.2</v>
      </c>
      <c r="G414" s="8">
        <v>0.4</v>
      </c>
      <c r="H414" s="8"/>
      <c r="I414" s="8"/>
      <c r="J414" s="8"/>
      <c r="K414" s="8"/>
      <c r="L414" s="8"/>
      <c r="M414" s="8"/>
      <c r="N414" s="8"/>
      <c r="O414" s="8"/>
    </row>
    <row r="437" spans="1:15" ht="20.100000000000001" customHeight="1">
      <c r="A437" s="8" t="s">
        <v>1180</v>
      </c>
      <c r="B437" s="8" t="s">
        <v>1126</v>
      </c>
      <c r="C437" s="8" t="s">
        <v>1181</v>
      </c>
      <c r="D437" s="8" t="s">
        <v>127</v>
      </c>
      <c r="E437" s="2" t="s">
        <v>1182</v>
      </c>
      <c r="F437" s="3" cm="1">
        <f t="array" ref="F437:G438">MMULT({1,2;3,4},{5,6;7,8})</f>
        <v>19</v>
      </c>
      <c r="G437" s="8">
        <v>22</v>
      </c>
      <c r="H437" s="8"/>
      <c r="I437" s="8"/>
      <c r="J437" s="8"/>
      <c r="K437" s="8"/>
      <c r="L437" s="8"/>
      <c r="M437" s="6" t="s">
        <v>129</v>
      </c>
      <c r="N437" s="8"/>
      <c r="O437" s="9" t="s">
        <v>130</v>
      </c>
    </row>
    <row r="438" spans="1:15">
      <c r="A438" s="8"/>
      <c r="B438" s="8"/>
      <c r="C438" s="8"/>
      <c r="D438" s="8"/>
      <c r="E438" s="8"/>
      <c r="F438" s="8">
        <v>43</v>
      </c>
      <c r="G438" s="8">
        <v>50</v>
      </c>
      <c r="H438" s="8"/>
      <c r="I438" s="8"/>
      <c r="J438" s="8"/>
      <c r="K438" s="8"/>
      <c r="L438" s="8"/>
      <c r="M438" s="8"/>
      <c r="N438" s="8"/>
      <c r="O438" s="8"/>
    </row>
    <row r="461" spans="1:15" ht="20.100000000000001" customHeight="1">
      <c r="A461" s="8" t="s">
        <v>1183</v>
      </c>
      <c r="B461" s="8" t="s">
        <v>1126</v>
      </c>
      <c r="C461" s="8" t="s">
        <v>1184</v>
      </c>
      <c r="D461" s="8" t="s">
        <v>127</v>
      </c>
      <c r="E461" s="2" t="s">
        <v>1185</v>
      </c>
      <c r="F461" s="3" cm="1">
        <f t="array" ref="F461:F462">_xlfn.MODE.MULT({1,1,2,2,3,4})</f>
        <v>1</v>
      </c>
      <c r="G461" s="8"/>
      <c r="H461" s="8"/>
      <c r="I461" s="8"/>
      <c r="J461" s="8"/>
      <c r="K461" s="8"/>
      <c r="L461" s="8"/>
      <c r="M461" s="6" t="s">
        <v>129</v>
      </c>
      <c r="N461" s="8"/>
      <c r="O461" s="9" t="s">
        <v>130</v>
      </c>
    </row>
    <row r="462" spans="1:15">
      <c r="A462" s="8"/>
      <c r="B462" s="8"/>
      <c r="C462" s="8"/>
      <c r="D462" s="8"/>
      <c r="E462" s="8"/>
      <c r="F462" s="8">
        <v>2</v>
      </c>
      <c r="G462" s="8"/>
      <c r="H462" s="8"/>
      <c r="I462" s="8"/>
      <c r="J462" s="8"/>
      <c r="K462" s="8"/>
      <c r="L462" s="8"/>
      <c r="M462" s="8"/>
      <c r="N462" s="8"/>
      <c r="O462" s="8"/>
    </row>
    <row r="485" spans="1:15" ht="20.100000000000001" customHeight="1">
      <c r="A485" s="8" t="s">
        <v>1186</v>
      </c>
      <c r="B485" s="8" t="s">
        <v>1126</v>
      </c>
      <c r="C485" s="8" t="s">
        <v>1187</v>
      </c>
      <c r="D485" s="8" t="s">
        <v>127</v>
      </c>
      <c r="E485" s="2" t="s">
        <v>1188</v>
      </c>
      <c r="F485" s="3" cm="1">
        <f t="array" ref="F485:I488">_xlfn.MUNIT(4)</f>
        <v>1</v>
      </c>
      <c r="G485" s="8">
        <v>0</v>
      </c>
      <c r="H485" s="8">
        <v>0</v>
      </c>
      <c r="I485" s="8">
        <v>0</v>
      </c>
      <c r="J485" s="8"/>
      <c r="K485" s="8"/>
      <c r="L485" s="8"/>
      <c r="M485" s="6" t="s">
        <v>129</v>
      </c>
      <c r="N485" s="8"/>
      <c r="O485" s="9" t="s">
        <v>130</v>
      </c>
    </row>
    <row r="486" spans="1:15">
      <c r="A486" s="8"/>
      <c r="B486" s="8"/>
      <c r="C486" s="8"/>
      <c r="D486" s="8"/>
      <c r="E486" s="8"/>
      <c r="F486" s="8">
        <v>0</v>
      </c>
      <c r="G486" s="8">
        <v>1</v>
      </c>
      <c r="H486" s="8">
        <v>0</v>
      </c>
      <c r="I486" s="8">
        <v>0</v>
      </c>
      <c r="J486" s="8"/>
      <c r="K486" s="8"/>
      <c r="L486" s="8"/>
      <c r="M486" s="8"/>
      <c r="N486" s="8"/>
      <c r="O486" s="8"/>
    </row>
    <row r="487" spans="1:15">
      <c r="A487" s="8"/>
      <c r="B487" s="8"/>
      <c r="C487" s="8"/>
      <c r="D487" s="8"/>
      <c r="E487" s="8"/>
      <c r="F487" s="8">
        <v>0</v>
      </c>
      <c r="G487" s="8">
        <v>0</v>
      </c>
      <c r="H487" s="8">
        <v>1</v>
      </c>
      <c r="I487" s="8">
        <v>0</v>
      </c>
      <c r="J487" s="8"/>
      <c r="K487" s="8"/>
      <c r="L487" s="8"/>
      <c r="M487" s="8"/>
      <c r="N487" s="8"/>
      <c r="O487" s="8"/>
    </row>
    <row r="488" spans="1:15">
      <c r="A488" s="8"/>
      <c r="B488" s="8"/>
      <c r="C488" s="8"/>
      <c r="D488" s="8"/>
      <c r="E488" s="8"/>
      <c r="F488" s="8">
        <v>0</v>
      </c>
      <c r="G488" s="8">
        <v>0</v>
      </c>
      <c r="H488" s="8">
        <v>0</v>
      </c>
      <c r="I488" s="8">
        <v>1</v>
      </c>
      <c r="J488" s="8"/>
      <c r="K488" s="8"/>
      <c r="L488" s="8"/>
      <c r="M488" s="8"/>
      <c r="N488" s="8"/>
      <c r="O488" s="8"/>
    </row>
    <row r="509" spans="1:15" ht="20.100000000000001" customHeight="1">
      <c r="A509" s="8" t="s">
        <v>1189</v>
      </c>
      <c r="B509" s="8" t="s">
        <v>1126</v>
      </c>
      <c r="C509" s="8" t="s">
        <v>1190</v>
      </c>
      <c r="D509" s="8" t="s">
        <v>127</v>
      </c>
      <c r="E509" s="2" t="s">
        <v>1191</v>
      </c>
      <c r="F509" s="3" t="str" cm="1">
        <f t="array" ref="F509:I513">_xlfn.PIVOTBY(SharedData!$C$6:$C$25,SharedData!$G$6:$G$25,SharedData!$E$6:$E$25,_xleta.SUM)</f>
        <v/>
      </c>
      <c r="G509" s="8" t="b">
        <v>0</v>
      </c>
      <c r="H509" s="8" t="b">
        <v>1</v>
      </c>
      <c r="I509" s="8" t="str">
        <v>합계</v>
      </c>
      <c r="J509" s="8"/>
      <c r="K509" s="8"/>
      <c r="L509" s="8"/>
      <c r="M509" s="6" t="s">
        <v>129</v>
      </c>
      <c r="N509" s="8"/>
      <c r="O509" s="9" t="s">
        <v>130</v>
      </c>
    </row>
    <row r="510" spans="1:15">
      <c r="A510" s="8"/>
      <c r="B510" s="8"/>
      <c r="C510" s="8"/>
      <c r="D510" s="8"/>
      <c r="E510" s="8"/>
      <c r="F510" s="8" t="str">
        <v>A</v>
      </c>
      <c r="G510" s="8">
        <v>300</v>
      </c>
      <c r="H510" s="8">
        <v>400</v>
      </c>
      <c r="I510" s="8">
        <v>700</v>
      </c>
      <c r="J510" s="8"/>
      <c r="K510" s="8"/>
      <c r="L510" s="8"/>
      <c r="M510" s="8"/>
      <c r="N510" s="8"/>
      <c r="O510" s="8"/>
    </row>
    <row r="511" spans="1:15">
      <c r="A511" s="8"/>
      <c r="B511" s="8"/>
      <c r="C511" s="8"/>
      <c r="D511" s="8"/>
      <c r="E511" s="8"/>
      <c r="F511" s="8" t="str">
        <v>B</v>
      </c>
      <c r="G511" s="8">
        <v>440</v>
      </c>
      <c r="H511" s="8">
        <v>330</v>
      </c>
      <c r="I511" s="8">
        <v>770</v>
      </c>
      <c r="J511" s="8"/>
      <c r="K511" s="8"/>
      <c r="L511" s="8"/>
      <c r="M511" s="8"/>
      <c r="N511" s="8"/>
      <c r="O511" s="8"/>
    </row>
    <row r="512" spans="1:15">
      <c r="A512" s="8"/>
      <c r="B512" s="8"/>
      <c r="C512" s="8"/>
      <c r="D512" s="8"/>
      <c r="E512" s="8"/>
      <c r="F512" s="8" t="str">
        <v>C</v>
      </c>
      <c r="G512" s="8">
        <v>360</v>
      </c>
      <c r="H512" s="8">
        <v>270</v>
      </c>
      <c r="I512" s="8">
        <v>630</v>
      </c>
      <c r="J512" s="8"/>
      <c r="K512" s="8"/>
      <c r="L512" s="8"/>
      <c r="M512" s="8"/>
      <c r="N512" s="8"/>
      <c r="O512" s="8"/>
    </row>
    <row r="513" spans="6:9">
      <c r="F513" s="8" t="str">
        <v>합계</v>
      </c>
      <c r="G513" s="8">
        <v>1100</v>
      </c>
      <c r="H513" s="8">
        <v>1000</v>
      </c>
      <c r="I513" s="8">
        <v>2100</v>
      </c>
    </row>
    <row r="533" spans="1:15" ht="20.100000000000001" customHeight="1">
      <c r="A533" s="8" t="s">
        <v>1192</v>
      </c>
      <c r="B533" s="8" t="s">
        <v>1126</v>
      </c>
      <c r="C533" s="8" t="s">
        <v>1193</v>
      </c>
      <c r="D533" s="8" t="s">
        <v>127</v>
      </c>
      <c r="E533" s="2" t="s">
        <v>1194</v>
      </c>
      <c r="F533" s="3" cm="1">
        <f t="array" ref="F533">_xlfn.REDUCE(0,SharedData!$E$6:$E$10,_xlfn.LAMBDA(_xlpm.a,_xlpm.v,_xlpm.a+_xlpm.v))</f>
        <v>150</v>
      </c>
      <c r="G533" s="8"/>
      <c r="H533" s="8"/>
      <c r="I533" s="8"/>
      <c r="J533" s="8"/>
      <c r="K533" s="8"/>
      <c r="L533" s="8"/>
      <c r="M533" s="6" t="s">
        <v>129</v>
      </c>
      <c r="N533" s="8"/>
      <c r="O533" s="9" t="s">
        <v>130</v>
      </c>
    </row>
    <row r="557" spans="1:15" ht="20.100000000000001" customHeight="1">
      <c r="A557" s="8" t="s">
        <v>1195</v>
      </c>
      <c r="B557" s="8" t="s">
        <v>1126</v>
      </c>
      <c r="C557" s="8" t="s">
        <v>1196</v>
      </c>
      <c r="D557" s="8" t="s">
        <v>127</v>
      </c>
      <c r="E557" s="2" t="s">
        <v>1197</v>
      </c>
      <c r="F557" s="3" cm="1">
        <f t="array" ref="F557:F561">_xlfn.SCAN(0,SharedData!$E$6:$E$10,_xlfn.LAMBDA(_xlpm.a,_xlpm.v,_xlpm.a+_xlpm.v))</f>
        <v>10</v>
      </c>
      <c r="G557" s="8"/>
      <c r="H557" s="8"/>
      <c r="I557" s="8"/>
      <c r="J557" s="8"/>
      <c r="K557" s="8"/>
      <c r="L557" s="8"/>
      <c r="M557" s="6" t="s">
        <v>129</v>
      </c>
      <c r="N557" s="8"/>
      <c r="O557" s="9" t="s">
        <v>130</v>
      </c>
    </row>
    <row r="558" spans="1:15">
      <c r="A558" s="8"/>
      <c r="B558" s="8"/>
      <c r="C558" s="8"/>
      <c r="D558" s="8"/>
      <c r="E558" s="8"/>
      <c r="F558" s="8">
        <v>30</v>
      </c>
      <c r="G558" s="8"/>
      <c r="H558" s="8"/>
      <c r="I558" s="8"/>
      <c r="J558" s="8"/>
      <c r="K558" s="8"/>
      <c r="L558" s="8"/>
      <c r="M558" s="8"/>
      <c r="N558" s="8"/>
      <c r="O558" s="8"/>
    </row>
    <row r="559" spans="1:15">
      <c r="A559" s="8"/>
      <c r="B559" s="8"/>
      <c r="C559" s="8"/>
      <c r="D559" s="8"/>
      <c r="E559" s="8"/>
      <c r="F559" s="8">
        <v>60</v>
      </c>
      <c r="G559" s="8"/>
      <c r="H559" s="8"/>
      <c r="I559" s="8"/>
      <c r="J559" s="8"/>
      <c r="K559" s="8"/>
      <c r="L559" s="8"/>
      <c r="M559" s="8"/>
      <c r="N559" s="8"/>
      <c r="O559" s="8"/>
    </row>
    <row r="560" spans="1:15">
      <c r="A560" s="8"/>
      <c r="B560" s="8"/>
      <c r="C560" s="8"/>
      <c r="D560" s="8"/>
      <c r="E560" s="8"/>
      <c r="F560" s="8">
        <v>100</v>
      </c>
      <c r="G560" s="8"/>
      <c r="H560" s="8"/>
      <c r="I560" s="8"/>
      <c r="J560" s="8"/>
      <c r="K560" s="8"/>
      <c r="L560" s="8"/>
      <c r="M560" s="8"/>
      <c r="N560" s="8"/>
      <c r="O560" s="8"/>
    </row>
    <row r="561" spans="6:6">
      <c r="F561" s="8">
        <v>150</v>
      </c>
    </row>
    <row r="581" spans="1:16" ht="20.100000000000001" customHeight="1">
      <c r="A581" s="8" t="s">
        <v>1198</v>
      </c>
      <c r="B581" s="8" t="s">
        <v>1126</v>
      </c>
      <c r="C581" s="8" t="s">
        <v>1199</v>
      </c>
      <c r="D581" s="8" t="s">
        <v>127</v>
      </c>
      <c r="E581" s="2" t="s">
        <v>1200</v>
      </c>
      <c r="F581" s="3" cm="1">
        <f t="array" ref="F581:I585">_xlfn.SEQUENCE(5,4,10,5)</f>
        <v>10</v>
      </c>
      <c r="G581" s="8">
        <v>15</v>
      </c>
      <c r="H581" s="8">
        <v>20</v>
      </c>
      <c r="I581" s="8">
        <v>25</v>
      </c>
      <c r="J581" s="8"/>
      <c r="K581" s="8"/>
      <c r="L581" s="8"/>
      <c r="M581" s="6" t="s">
        <v>129</v>
      </c>
      <c r="N581" s="3" t="str">
        <f>IF(ISERROR(F581),"ERROR "&amp;IFERROR(ERROR.TYPE(F581),""),"OK")</f>
        <v>OK</v>
      </c>
      <c r="O581" s="9" t="s">
        <v>130</v>
      </c>
      <c r="P581" s="3">
        <f>IFERROR(N(F581),0)+IFERROR(N(ArraysCSE!$F$293),0)+ROW()/100000</f>
        <v>10.00581</v>
      </c>
    </row>
    <row r="582" spans="1:16">
      <c r="A582" s="8"/>
      <c r="B582" s="8"/>
      <c r="C582" s="8"/>
      <c r="D582" s="8"/>
      <c r="E582" s="8"/>
      <c r="F582" s="8">
        <v>30</v>
      </c>
      <c r="G582" s="8">
        <v>35</v>
      </c>
      <c r="H582" s="8">
        <v>40</v>
      </c>
      <c r="I582" s="8">
        <v>45</v>
      </c>
      <c r="J582" s="8"/>
      <c r="K582" s="8"/>
      <c r="L582" s="8"/>
      <c r="M582" s="8"/>
      <c r="N582" s="8"/>
      <c r="O582" s="8"/>
      <c r="P582" s="8"/>
    </row>
    <row r="583" spans="1:16">
      <c r="A583" s="8"/>
      <c r="B583" s="8"/>
      <c r="C583" s="8"/>
      <c r="D583" s="8"/>
      <c r="E583" s="8"/>
      <c r="F583" s="8">
        <v>50</v>
      </c>
      <c r="G583" s="8">
        <v>55</v>
      </c>
      <c r="H583" s="8">
        <v>60</v>
      </c>
      <c r="I583" s="8">
        <v>65</v>
      </c>
      <c r="J583" s="8"/>
      <c r="K583" s="8"/>
      <c r="L583" s="8"/>
      <c r="M583" s="8"/>
      <c r="N583" s="8"/>
      <c r="O583" s="8"/>
      <c r="P583" s="8"/>
    </row>
    <row r="584" spans="1:16">
      <c r="A584" s="8"/>
      <c r="B584" s="8"/>
      <c r="C584" s="8"/>
      <c r="D584" s="8"/>
      <c r="E584" s="8"/>
      <c r="F584" s="8">
        <v>70</v>
      </c>
      <c r="G584" s="8">
        <v>75</v>
      </c>
      <c r="H584" s="8">
        <v>80</v>
      </c>
      <c r="I584" s="8">
        <v>85</v>
      </c>
      <c r="J584" s="8"/>
      <c r="K584" s="8"/>
      <c r="L584" s="8"/>
      <c r="M584" s="8"/>
      <c r="N584" s="8"/>
      <c r="O584" s="8"/>
      <c r="P584" s="8"/>
    </row>
    <row r="585" spans="1:16">
      <c r="A585" s="8"/>
      <c r="B585" s="8"/>
      <c r="C585" s="8"/>
      <c r="D585" s="8"/>
      <c r="E585" s="8"/>
      <c r="F585" s="8">
        <v>90</v>
      </c>
      <c r="G585" s="8">
        <v>95</v>
      </c>
      <c r="H585" s="8">
        <v>100</v>
      </c>
      <c r="I585" s="8">
        <v>105</v>
      </c>
      <c r="J585" s="8"/>
      <c r="K585" s="8"/>
      <c r="L585" s="8"/>
      <c r="M585" s="8"/>
      <c r="N585" s="8"/>
      <c r="O585" s="8"/>
      <c r="P585" s="8"/>
    </row>
    <row r="605" spans="1:15" ht="20.100000000000001" customHeight="1">
      <c r="A605" s="8" t="s">
        <v>1201</v>
      </c>
      <c r="B605" s="8" t="s">
        <v>1126</v>
      </c>
      <c r="C605" s="8" t="s">
        <v>1202</v>
      </c>
      <c r="D605" s="8" t="s">
        <v>127</v>
      </c>
      <c r="E605" s="2" t="s">
        <v>1203</v>
      </c>
      <c r="F605" s="3" cm="1">
        <f t="array" ref="F605:J624">_xlfn._xlws.SORT(SharedData!$A$6:$E$25,5,-1,FALSE)</f>
        <v>0.1</v>
      </c>
      <c r="G605" s="8" t="str">
        <v>K020</v>
      </c>
      <c r="H605" s="8" t="str">
        <v>B</v>
      </c>
      <c r="I605" s="8">
        <v>44420</v>
      </c>
      <c r="J605" s="8">
        <v>200</v>
      </c>
      <c r="K605" s="8"/>
      <c r="L605" s="8"/>
      <c r="M605" s="6" t="s">
        <v>129</v>
      </c>
      <c r="N605" s="8"/>
      <c r="O605" s="9" t="s">
        <v>130</v>
      </c>
    </row>
    <row r="606" spans="1:15">
      <c r="A606" s="8"/>
      <c r="B606" s="8"/>
      <c r="C606" s="8"/>
      <c r="D606" s="8"/>
      <c r="E606" s="8"/>
      <c r="F606" s="8">
        <v>0.05</v>
      </c>
      <c r="G606" s="8" t="str">
        <v>K019</v>
      </c>
      <c r="H606" s="8" t="str">
        <v>A</v>
      </c>
      <c r="I606" s="8">
        <v>44389</v>
      </c>
      <c r="J606" s="8">
        <v>190</v>
      </c>
      <c r="K606" s="8"/>
      <c r="L606" s="8"/>
      <c r="M606" s="8"/>
      <c r="N606" s="8"/>
      <c r="O606" s="8"/>
    </row>
    <row r="607" spans="1:15">
      <c r="A607" s="8"/>
      <c r="B607" s="8"/>
      <c r="C607" s="8"/>
      <c r="D607" s="8"/>
      <c r="E607" s="8"/>
      <c r="F607" s="8">
        <v>5.5</v>
      </c>
      <c r="G607" s="8" t="str">
        <v>K018</v>
      </c>
      <c r="H607" s="8" t="str">
        <v>C</v>
      </c>
      <c r="I607" s="8">
        <v>44358</v>
      </c>
      <c r="J607" s="8">
        <v>180</v>
      </c>
      <c r="K607" s="8"/>
      <c r="L607" s="8"/>
      <c r="M607" s="8"/>
      <c r="N607" s="8"/>
      <c r="O607" s="8"/>
    </row>
    <row r="608" spans="1:15">
      <c r="A608" s="8"/>
      <c r="B608" s="8"/>
      <c r="C608" s="8"/>
      <c r="D608" s="8"/>
      <c r="E608" s="8"/>
      <c r="F608" s="8">
        <v>4.5</v>
      </c>
      <c r="G608" s="8" t="str">
        <v>K017</v>
      </c>
      <c r="H608" s="8" t="str">
        <v>B</v>
      </c>
      <c r="I608" s="8">
        <v>44327</v>
      </c>
      <c r="J608" s="8">
        <v>170</v>
      </c>
      <c r="K608" s="8"/>
      <c r="L608" s="8"/>
      <c r="M608" s="8"/>
      <c r="N608" s="8"/>
      <c r="O608" s="8"/>
    </row>
    <row r="609" spans="6:10">
      <c r="F609" s="8">
        <v>3.5</v>
      </c>
      <c r="G609" s="8" t="str">
        <v>K016</v>
      </c>
      <c r="H609" s="8" t="str">
        <v>A</v>
      </c>
      <c r="I609" s="8">
        <v>44296</v>
      </c>
      <c r="J609" s="8">
        <v>160</v>
      </c>
    </row>
    <row r="610" spans="6:10">
      <c r="F610" s="8">
        <v>2.5</v>
      </c>
      <c r="G610" s="8" t="str">
        <v>K015</v>
      </c>
      <c r="H610" s="8" t="str">
        <v>C</v>
      </c>
      <c r="I610" s="8">
        <v>44265</v>
      </c>
      <c r="J610" s="8">
        <v>150</v>
      </c>
    </row>
    <row r="611" spans="6:10">
      <c r="F611" s="8">
        <v>1.5</v>
      </c>
      <c r="G611" s="8" t="str">
        <v>K014</v>
      </c>
      <c r="H611" s="8" t="str">
        <v>B</v>
      </c>
      <c r="I611" s="8">
        <v>44234</v>
      </c>
      <c r="J611" s="8">
        <v>140</v>
      </c>
    </row>
    <row r="612" spans="6:10">
      <c r="F612" s="8">
        <v>0</v>
      </c>
      <c r="G612" s="8" t="str">
        <v>K013</v>
      </c>
      <c r="H612" s="8" t="str">
        <v>A</v>
      </c>
      <c r="I612" s="8">
        <v>44203</v>
      </c>
      <c r="J612" s="8">
        <v>130</v>
      </c>
    </row>
    <row r="613" spans="6:10">
      <c r="F613" s="8">
        <v>100</v>
      </c>
      <c r="G613" s="8" t="str">
        <v>K012</v>
      </c>
      <c r="H613" s="8" t="str">
        <v>C</v>
      </c>
      <c r="I613" s="8">
        <v>44172</v>
      </c>
      <c r="J613" s="8">
        <v>120</v>
      </c>
    </row>
    <row r="614" spans="6:10">
      <c r="F614" s="8">
        <v>25</v>
      </c>
      <c r="G614" s="8" t="str">
        <v>K011</v>
      </c>
      <c r="H614" s="8" t="str">
        <v>B</v>
      </c>
      <c r="I614" s="8">
        <v>44141</v>
      </c>
      <c r="J614" s="8">
        <v>110</v>
      </c>
    </row>
    <row r="615" spans="6:10">
      <c r="F615" s="8">
        <v>-10</v>
      </c>
      <c r="G615" s="8" t="str">
        <v>K010</v>
      </c>
      <c r="H615" s="8" t="str">
        <v>A</v>
      </c>
      <c r="I615" s="8">
        <v>44110</v>
      </c>
      <c r="J615" s="8">
        <v>100</v>
      </c>
    </row>
    <row r="616" spans="6:10">
      <c r="F616" s="8">
        <v>10</v>
      </c>
      <c r="G616" s="8" t="str">
        <v>K009</v>
      </c>
      <c r="H616" s="8" t="str">
        <v>C</v>
      </c>
      <c r="I616" s="8">
        <v>44079</v>
      </c>
      <c r="J616" s="8">
        <v>90</v>
      </c>
    </row>
    <row r="617" spans="6:10">
      <c r="F617" s="8">
        <v>5</v>
      </c>
      <c r="G617" s="8" t="str">
        <v>K008</v>
      </c>
      <c r="H617" s="8" t="str">
        <v>B</v>
      </c>
      <c r="I617" s="8">
        <v>44048</v>
      </c>
      <c r="J617" s="8">
        <v>80</v>
      </c>
    </row>
    <row r="618" spans="6:10">
      <c r="F618" s="8">
        <v>4</v>
      </c>
      <c r="G618" s="8" t="str">
        <v>K007</v>
      </c>
      <c r="H618" s="8" t="str">
        <v>A</v>
      </c>
      <c r="I618" s="8">
        <v>44017</v>
      </c>
      <c r="J618" s="8">
        <v>70</v>
      </c>
    </row>
    <row r="619" spans="6:10">
      <c r="F619" s="8">
        <v>3</v>
      </c>
      <c r="G619" s="8" t="str">
        <v>K006</v>
      </c>
      <c r="H619" s="8" t="str">
        <v>C</v>
      </c>
      <c r="I619" s="8">
        <v>43986</v>
      </c>
      <c r="J619" s="8">
        <v>60</v>
      </c>
    </row>
    <row r="620" spans="6:10">
      <c r="F620" s="8">
        <v>2</v>
      </c>
      <c r="G620" s="8" t="str">
        <v>K005</v>
      </c>
      <c r="H620" s="8" t="str">
        <v>B</v>
      </c>
      <c r="I620" s="8">
        <v>43955</v>
      </c>
      <c r="J620" s="8">
        <v>50</v>
      </c>
    </row>
    <row r="621" spans="6:10">
      <c r="F621" s="8">
        <v>1</v>
      </c>
      <c r="G621" s="8" t="str">
        <v>K004</v>
      </c>
      <c r="H621" s="8" t="str">
        <v>A</v>
      </c>
      <c r="I621" s="8">
        <v>43924</v>
      </c>
      <c r="J621" s="8">
        <v>40</v>
      </c>
    </row>
    <row r="622" spans="6:10">
      <c r="F622" s="8">
        <v>-0.3</v>
      </c>
      <c r="G622" s="8" t="str">
        <v>K003</v>
      </c>
      <c r="H622" s="8" t="str">
        <v>C</v>
      </c>
      <c r="I622" s="8">
        <v>43893</v>
      </c>
      <c r="J622" s="8">
        <v>30</v>
      </c>
    </row>
    <row r="623" spans="6:10">
      <c r="F623" s="8">
        <v>0.2</v>
      </c>
      <c r="G623" s="8" t="str">
        <v>K002</v>
      </c>
      <c r="H623" s="8" t="str">
        <v>B</v>
      </c>
      <c r="I623" s="8">
        <v>43862</v>
      </c>
      <c r="J623" s="8">
        <v>20</v>
      </c>
    </row>
    <row r="624" spans="6:10">
      <c r="F624" s="8">
        <v>0.1</v>
      </c>
      <c r="G624" s="8" t="str">
        <v>K001</v>
      </c>
      <c r="H624" s="8" t="str">
        <v>A</v>
      </c>
      <c r="I624" s="8">
        <v>43831</v>
      </c>
      <c r="J624" s="8">
        <v>10</v>
      </c>
    </row>
    <row r="629" spans="1:15" ht="20.100000000000001" customHeight="1">
      <c r="A629" s="8" t="s">
        <v>1204</v>
      </c>
      <c r="B629" s="8" t="s">
        <v>1126</v>
      </c>
      <c r="C629" s="8" t="s">
        <v>1205</v>
      </c>
      <c r="D629" s="8" t="s">
        <v>127</v>
      </c>
      <c r="E629" s="2" t="s">
        <v>1206</v>
      </c>
      <c r="F629" s="3" cm="1">
        <f t="array" ref="F629:J648">_xlfn.SORTBY(SharedData!$A$6:$E$25,SharedData!$E$6:$E$25,-1)</f>
        <v>0.1</v>
      </c>
      <c r="G629" s="8" t="str">
        <v>K020</v>
      </c>
      <c r="H629" s="8" t="str">
        <v>B</v>
      </c>
      <c r="I629" s="8">
        <v>44420</v>
      </c>
      <c r="J629" s="8">
        <v>200</v>
      </c>
      <c r="K629" s="8"/>
      <c r="L629" s="8"/>
      <c r="M629" s="6" t="s">
        <v>129</v>
      </c>
      <c r="N629" s="8"/>
      <c r="O629" s="9" t="s">
        <v>130</v>
      </c>
    </row>
    <row r="630" spans="1:15">
      <c r="A630" s="8"/>
      <c r="B630" s="8"/>
      <c r="C630" s="8"/>
      <c r="D630" s="8"/>
      <c r="E630" s="8"/>
      <c r="F630" s="8">
        <v>0.05</v>
      </c>
      <c r="G630" s="8" t="str">
        <v>K019</v>
      </c>
      <c r="H630" s="8" t="str">
        <v>A</v>
      </c>
      <c r="I630" s="8">
        <v>44389</v>
      </c>
      <c r="J630" s="8">
        <v>190</v>
      </c>
      <c r="K630" s="8"/>
      <c r="L630" s="8"/>
      <c r="M630" s="8"/>
      <c r="N630" s="8"/>
      <c r="O630" s="8"/>
    </row>
    <row r="631" spans="1:15">
      <c r="A631" s="8"/>
      <c r="B631" s="8"/>
      <c r="C631" s="8"/>
      <c r="D631" s="8"/>
      <c r="E631" s="8"/>
      <c r="F631" s="8">
        <v>5.5</v>
      </c>
      <c r="G631" s="8" t="str">
        <v>K018</v>
      </c>
      <c r="H631" s="8" t="str">
        <v>C</v>
      </c>
      <c r="I631" s="8">
        <v>44358</v>
      </c>
      <c r="J631" s="8">
        <v>180</v>
      </c>
      <c r="K631" s="8"/>
      <c r="L631" s="8"/>
      <c r="M631" s="8"/>
      <c r="N631" s="8"/>
      <c r="O631" s="8"/>
    </row>
    <row r="632" spans="1:15">
      <c r="A632" s="8"/>
      <c r="B632" s="8"/>
      <c r="C632" s="8"/>
      <c r="D632" s="8"/>
      <c r="E632" s="8"/>
      <c r="F632" s="8">
        <v>4.5</v>
      </c>
      <c r="G632" s="8" t="str">
        <v>K017</v>
      </c>
      <c r="H632" s="8" t="str">
        <v>B</v>
      </c>
      <c r="I632" s="8">
        <v>44327</v>
      </c>
      <c r="J632" s="8">
        <v>170</v>
      </c>
      <c r="K632" s="8"/>
      <c r="L632" s="8"/>
      <c r="M632" s="8"/>
      <c r="N632" s="8"/>
      <c r="O632" s="8"/>
    </row>
    <row r="633" spans="1:15">
      <c r="A633" s="8"/>
      <c r="B633" s="8"/>
      <c r="C633" s="8"/>
      <c r="D633" s="8"/>
      <c r="E633" s="8"/>
      <c r="F633" s="8">
        <v>3.5</v>
      </c>
      <c r="G633" s="8" t="str">
        <v>K016</v>
      </c>
      <c r="H633" s="8" t="str">
        <v>A</v>
      </c>
      <c r="I633" s="8">
        <v>44296</v>
      </c>
      <c r="J633" s="8">
        <v>160</v>
      </c>
      <c r="K633" s="8"/>
      <c r="L633" s="8"/>
      <c r="M633" s="8"/>
      <c r="N633" s="8"/>
      <c r="O633" s="8"/>
    </row>
    <row r="634" spans="1:15">
      <c r="A634" s="8"/>
      <c r="B634" s="8"/>
      <c r="C634" s="8"/>
      <c r="D634" s="8"/>
      <c r="E634" s="8"/>
      <c r="F634" s="8">
        <v>2.5</v>
      </c>
      <c r="G634" s="8" t="str">
        <v>K015</v>
      </c>
      <c r="H634" s="8" t="str">
        <v>C</v>
      </c>
      <c r="I634" s="8">
        <v>44265</v>
      </c>
      <c r="J634" s="8">
        <v>150</v>
      </c>
      <c r="K634" s="8"/>
      <c r="L634" s="8"/>
      <c r="M634" s="8"/>
      <c r="N634" s="8"/>
      <c r="O634" s="8"/>
    </row>
    <row r="635" spans="1:15">
      <c r="A635" s="8"/>
      <c r="B635" s="8"/>
      <c r="C635" s="8"/>
      <c r="D635" s="8"/>
      <c r="E635" s="8"/>
      <c r="F635" s="8">
        <v>1.5</v>
      </c>
      <c r="G635" s="8" t="str">
        <v>K014</v>
      </c>
      <c r="H635" s="8" t="str">
        <v>B</v>
      </c>
      <c r="I635" s="8">
        <v>44234</v>
      </c>
      <c r="J635" s="8">
        <v>140</v>
      </c>
      <c r="K635" s="8"/>
      <c r="L635" s="8"/>
      <c r="M635" s="8"/>
      <c r="N635" s="8"/>
      <c r="O635" s="8"/>
    </row>
    <row r="636" spans="1:15">
      <c r="A636" s="8"/>
      <c r="B636" s="8"/>
      <c r="C636" s="8"/>
      <c r="D636" s="8"/>
      <c r="E636" s="8"/>
      <c r="F636" s="8">
        <v>0</v>
      </c>
      <c r="G636" s="8" t="str">
        <v>K013</v>
      </c>
      <c r="H636" s="8" t="str">
        <v>A</v>
      </c>
      <c r="I636" s="8">
        <v>44203</v>
      </c>
      <c r="J636" s="8">
        <v>130</v>
      </c>
      <c r="K636" s="8"/>
      <c r="L636" s="8"/>
      <c r="M636" s="8"/>
      <c r="N636" s="8"/>
      <c r="O636" s="8"/>
    </row>
    <row r="637" spans="1:15">
      <c r="A637" s="8"/>
      <c r="B637" s="8"/>
      <c r="C637" s="8"/>
      <c r="D637" s="8"/>
      <c r="E637" s="8"/>
      <c r="F637" s="8">
        <v>100</v>
      </c>
      <c r="G637" s="8" t="str">
        <v>K012</v>
      </c>
      <c r="H637" s="8" t="str">
        <v>C</v>
      </c>
      <c r="I637" s="8">
        <v>44172</v>
      </c>
      <c r="J637" s="8">
        <v>120</v>
      </c>
      <c r="K637" s="8"/>
      <c r="L637" s="8"/>
      <c r="M637" s="8"/>
      <c r="N637" s="8"/>
      <c r="O637" s="8"/>
    </row>
    <row r="638" spans="1:15">
      <c r="A638" s="8"/>
      <c r="B638" s="8"/>
      <c r="C638" s="8"/>
      <c r="D638" s="8"/>
      <c r="E638" s="8"/>
      <c r="F638" s="8">
        <v>25</v>
      </c>
      <c r="G638" s="8" t="str">
        <v>K011</v>
      </c>
      <c r="H638" s="8" t="str">
        <v>B</v>
      </c>
      <c r="I638" s="8">
        <v>44141</v>
      </c>
      <c r="J638" s="8">
        <v>110</v>
      </c>
      <c r="K638" s="8"/>
      <c r="L638" s="8"/>
      <c r="M638" s="8"/>
      <c r="N638" s="8"/>
      <c r="O638" s="8"/>
    </row>
    <row r="639" spans="1:15">
      <c r="A639" s="8"/>
      <c r="B639" s="8"/>
      <c r="C639" s="8"/>
      <c r="D639" s="8"/>
      <c r="E639" s="8"/>
      <c r="F639" s="8">
        <v>-10</v>
      </c>
      <c r="G639" s="8" t="str">
        <v>K010</v>
      </c>
      <c r="H639" s="8" t="str">
        <v>A</v>
      </c>
      <c r="I639" s="8">
        <v>44110</v>
      </c>
      <c r="J639" s="8">
        <v>100</v>
      </c>
      <c r="K639" s="8"/>
      <c r="L639" s="8"/>
      <c r="M639" s="8"/>
      <c r="N639" s="8"/>
      <c r="O639" s="8"/>
    </row>
    <row r="640" spans="1:15">
      <c r="A640" s="8"/>
      <c r="B640" s="8"/>
      <c r="C640" s="8"/>
      <c r="D640" s="8"/>
      <c r="E640" s="8"/>
      <c r="F640" s="8">
        <v>10</v>
      </c>
      <c r="G640" s="8" t="str">
        <v>K009</v>
      </c>
      <c r="H640" s="8" t="str">
        <v>C</v>
      </c>
      <c r="I640" s="8">
        <v>44079</v>
      </c>
      <c r="J640" s="8">
        <v>90</v>
      </c>
      <c r="K640" s="8"/>
      <c r="L640" s="8"/>
      <c r="M640" s="8"/>
      <c r="N640" s="8"/>
      <c r="O640" s="8"/>
    </row>
    <row r="641" spans="1:15">
      <c r="A641" s="8"/>
      <c r="B641" s="8"/>
      <c r="C641" s="8"/>
      <c r="D641" s="8"/>
      <c r="E641" s="8"/>
      <c r="F641" s="8">
        <v>5</v>
      </c>
      <c r="G641" s="8" t="str">
        <v>K008</v>
      </c>
      <c r="H641" s="8" t="str">
        <v>B</v>
      </c>
      <c r="I641" s="8">
        <v>44048</v>
      </c>
      <c r="J641" s="8">
        <v>80</v>
      </c>
      <c r="K641" s="8"/>
      <c r="L641" s="8"/>
      <c r="M641" s="8"/>
      <c r="N641" s="8"/>
      <c r="O641" s="8"/>
    </row>
    <row r="642" spans="1:15">
      <c r="A642" s="8"/>
      <c r="B642" s="8"/>
      <c r="C642" s="8"/>
      <c r="D642" s="8"/>
      <c r="E642" s="8"/>
      <c r="F642" s="8">
        <v>4</v>
      </c>
      <c r="G642" s="8" t="str">
        <v>K007</v>
      </c>
      <c r="H642" s="8" t="str">
        <v>A</v>
      </c>
      <c r="I642" s="8">
        <v>44017</v>
      </c>
      <c r="J642" s="8">
        <v>70</v>
      </c>
      <c r="K642" s="8"/>
      <c r="L642" s="8"/>
      <c r="M642" s="8"/>
      <c r="N642" s="8"/>
      <c r="O642" s="8"/>
    </row>
    <row r="643" spans="1:15">
      <c r="A643" s="8"/>
      <c r="B643" s="8"/>
      <c r="C643" s="8"/>
      <c r="D643" s="8"/>
      <c r="E643" s="8"/>
      <c r="F643" s="8">
        <v>3</v>
      </c>
      <c r="G643" s="8" t="str">
        <v>K006</v>
      </c>
      <c r="H643" s="8" t="str">
        <v>C</v>
      </c>
      <c r="I643" s="8">
        <v>43986</v>
      </c>
      <c r="J643" s="8">
        <v>60</v>
      </c>
      <c r="K643" s="8"/>
      <c r="L643" s="8"/>
      <c r="M643" s="8"/>
      <c r="N643" s="8"/>
      <c r="O643" s="8"/>
    </row>
    <row r="644" spans="1:15">
      <c r="A644" s="8"/>
      <c r="B644" s="8"/>
      <c r="C644" s="8"/>
      <c r="D644" s="8"/>
      <c r="E644" s="8"/>
      <c r="F644" s="8">
        <v>2</v>
      </c>
      <c r="G644" s="8" t="str">
        <v>K005</v>
      </c>
      <c r="H644" s="8" t="str">
        <v>B</v>
      </c>
      <c r="I644" s="8">
        <v>43955</v>
      </c>
      <c r="J644" s="8">
        <v>50</v>
      </c>
      <c r="K644" s="8"/>
      <c r="L644" s="8"/>
      <c r="M644" s="8"/>
      <c r="N644" s="8"/>
      <c r="O644" s="8"/>
    </row>
    <row r="645" spans="1:15">
      <c r="A645" s="8"/>
      <c r="B645" s="8"/>
      <c r="C645" s="8"/>
      <c r="D645" s="8"/>
      <c r="E645" s="8"/>
      <c r="F645" s="8">
        <v>1</v>
      </c>
      <c r="G645" s="8" t="str">
        <v>K004</v>
      </c>
      <c r="H645" s="8" t="str">
        <v>A</v>
      </c>
      <c r="I645" s="8">
        <v>43924</v>
      </c>
      <c r="J645" s="8">
        <v>40</v>
      </c>
      <c r="K645" s="8"/>
      <c r="L645" s="8"/>
      <c r="M645" s="8"/>
      <c r="N645" s="8"/>
      <c r="O645" s="8"/>
    </row>
    <row r="646" spans="1:15">
      <c r="A646" s="8"/>
      <c r="B646" s="8"/>
      <c r="C646" s="8"/>
      <c r="D646" s="8"/>
      <c r="E646" s="8"/>
      <c r="F646" s="8">
        <v>-0.3</v>
      </c>
      <c r="G646" s="8" t="str">
        <v>K003</v>
      </c>
      <c r="H646" s="8" t="str">
        <v>C</v>
      </c>
      <c r="I646" s="8">
        <v>43893</v>
      </c>
      <c r="J646" s="8">
        <v>30</v>
      </c>
      <c r="K646" s="8"/>
      <c r="L646" s="8"/>
      <c r="M646" s="8"/>
      <c r="N646" s="8"/>
      <c r="O646" s="8"/>
    </row>
    <row r="647" spans="1:15">
      <c r="A647" s="8"/>
      <c r="B647" s="8"/>
      <c r="C647" s="8"/>
      <c r="D647" s="8"/>
      <c r="E647" s="8"/>
      <c r="F647" s="8">
        <v>0.2</v>
      </c>
      <c r="G647" s="8" t="str">
        <v>K002</v>
      </c>
      <c r="H647" s="8" t="str">
        <v>B</v>
      </c>
      <c r="I647" s="8">
        <v>43862</v>
      </c>
      <c r="J647" s="8">
        <v>20</v>
      </c>
      <c r="K647" s="8"/>
      <c r="L647" s="8"/>
      <c r="M647" s="8"/>
      <c r="N647" s="8"/>
      <c r="O647" s="8"/>
    </row>
    <row r="648" spans="1:15">
      <c r="A648" s="8"/>
      <c r="B648" s="8"/>
      <c r="C648" s="8"/>
      <c r="D648" s="8"/>
      <c r="E648" s="8"/>
      <c r="F648" s="8">
        <v>0.1</v>
      </c>
      <c r="G648" s="8" t="str">
        <v>K001</v>
      </c>
      <c r="H648" s="8" t="str">
        <v>A</v>
      </c>
      <c r="I648" s="8">
        <v>43831</v>
      </c>
      <c r="J648" s="8">
        <v>10</v>
      </c>
      <c r="K648" s="8"/>
      <c r="L648" s="8"/>
      <c r="M648" s="8"/>
      <c r="N648" s="8"/>
      <c r="O648" s="8"/>
    </row>
    <row r="653" spans="1:15" ht="20.100000000000001" customHeight="1">
      <c r="A653" s="8" t="s">
        <v>1207</v>
      </c>
      <c r="B653" s="8" t="s">
        <v>1126</v>
      </c>
      <c r="C653" s="8" t="s">
        <v>1208</v>
      </c>
      <c r="D653" s="8" t="s">
        <v>127</v>
      </c>
      <c r="E653" s="2" t="s">
        <v>1209</v>
      </c>
      <c r="F653" s="3" cm="1">
        <f t="array" ref="F653:I657">_xlfn.TAKE(SharedData!$A$6:$F$25,5,4)</f>
        <v>0.1</v>
      </c>
      <c r="G653" s="8" t="str">
        <v>K001</v>
      </c>
      <c r="H653" s="8" t="str">
        <v>A</v>
      </c>
      <c r="I653" s="8">
        <v>43831</v>
      </c>
      <c r="J653" s="8"/>
      <c r="K653" s="8"/>
      <c r="L653" s="8"/>
      <c r="M653" s="6" t="s">
        <v>129</v>
      </c>
      <c r="N653" s="8"/>
      <c r="O653" s="9" t="s">
        <v>130</v>
      </c>
    </row>
    <row r="654" spans="1:15">
      <c r="A654" s="8"/>
      <c r="B654" s="8"/>
      <c r="C654" s="8"/>
      <c r="D654" s="8"/>
      <c r="E654" s="8"/>
      <c r="F654" s="8">
        <v>0.2</v>
      </c>
      <c r="G654" s="8" t="str">
        <v>K002</v>
      </c>
      <c r="H654" s="8" t="str">
        <v>B</v>
      </c>
      <c r="I654" s="8">
        <v>43862</v>
      </c>
      <c r="J654" s="8"/>
      <c r="K654" s="8"/>
      <c r="L654" s="8"/>
      <c r="M654" s="8"/>
      <c r="N654" s="8"/>
      <c r="O654" s="8"/>
    </row>
    <row r="655" spans="1:15">
      <c r="A655" s="8"/>
      <c r="B655" s="8"/>
      <c r="C655" s="8"/>
      <c r="D655" s="8"/>
      <c r="E655" s="8"/>
      <c r="F655" s="8">
        <v>-0.3</v>
      </c>
      <c r="G655" s="8" t="str">
        <v>K003</v>
      </c>
      <c r="H655" s="8" t="str">
        <v>C</v>
      </c>
      <c r="I655" s="8">
        <v>43893</v>
      </c>
      <c r="J655" s="8"/>
      <c r="K655" s="8"/>
      <c r="L655" s="8"/>
      <c r="M655" s="8"/>
      <c r="N655" s="8"/>
      <c r="O655" s="8"/>
    </row>
    <row r="656" spans="1:15">
      <c r="A656" s="8"/>
      <c r="B656" s="8"/>
      <c r="C656" s="8"/>
      <c r="D656" s="8"/>
      <c r="E656" s="8"/>
      <c r="F656" s="8">
        <v>1</v>
      </c>
      <c r="G656" s="8" t="str">
        <v>K004</v>
      </c>
      <c r="H656" s="8" t="str">
        <v>A</v>
      </c>
      <c r="I656" s="8">
        <v>43924</v>
      </c>
      <c r="J656" s="8"/>
      <c r="K656" s="8"/>
      <c r="L656" s="8"/>
      <c r="M656" s="8"/>
      <c r="N656" s="8"/>
      <c r="O656" s="8"/>
    </row>
    <row r="657" spans="6:9">
      <c r="F657" s="8">
        <v>2</v>
      </c>
      <c r="G657" s="8" t="str">
        <v>K005</v>
      </c>
      <c r="H657" s="8" t="str">
        <v>B</v>
      </c>
      <c r="I657" s="8">
        <v>43955</v>
      </c>
    </row>
    <row r="677" spans="1:15" ht="20.100000000000001" customHeight="1">
      <c r="A677" s="8" t="s">
        <v>1210</v>
      </c>
      <c r="B677" s="8" t="s">
        <v>1126</v>
      </c>
      <c r="C677" s="8" t="s">
        <v>1211</v>
      </c>
      <c r="D677" s="8" t="s">
        <v>127</v>
      </c>
      <c r="E677" s="2" t="s">
        <v>1212</v>
      </c>
      <c r="F677" s="3" cm="1">
        <f t="array" ref="F677:F691">_xlfn.TOCOL(SharedData!$A$6:$C$10,1,FALSE)</f>
        <v>0.1</v>
      </c>
      <c r="G677" s="8"/>
      <c r="H677" s="8"/>
      <c r="I677" s="8"/>
      <c r="J677" s="8"/>
      <c r="K677" s="8"/>
      <c r="L677" s="8"/>
      <c r="M677" s="6" t="s">
        <v>129</v>
      </c>
      <c r="N677" s="8"/>
      <c r="O677" s="9" t="s">
        <v>130</v>
      </c>
    </row>
    <row r="678" spans="1:15">
      <c r="A678" s="8"/>
      <c r="B678" s="8"/>
      <c r="C678" s="8"/>
      <c r="D678" s="8"/>
      <c r="E678" s="8"/>
      <c r="F678" s="8" t="str">
        <v>K001</v>
      </c>
      <c r="G678" s="8"/>
      <c r="H678" s="8"/>
      <c r="I678" s="8"/>
      <c r="J678" s="8"/>
      <c r="K678" s="8"/>
      <c r="L678" s="8"/>
      <c r="M678" s="8"/>
      <c r="N678" s="8"/>
      <c r="O678" s="8"/>
    </row>
    <row r="679" spans="1:15">
      <c r="A679" s="8"/>
      <c r="B679" s="8"/>
      <c r="C679" s="8"/>
      <c r="D679" s="8"/>
      <c r="E679" s="8"/>
      <c r="F679" s="8" t="str">
        <v>A</v>
      </c>
      <c r="G679" s="8"/>
      <c r="H679" s="8"/>
      <c r="I679" s="8"/>
      <c r="J679" s="8"/>
      <c r="K679" s="8"/>
      <c r="L679" s="8"/>
      <c r="M679" s="8"/>
      <c r="N679" s="8"/>
      <c r="O679" s="8"/>
    </row>
    <row r="680" spans="1:15">
      <c r="A680" s="8"/>
      <c r="B680" s="8"/>
      <c r="C680" s="8"/>
      <c r="D680" s="8"/>
      <c r="E680" s="8"/>
      <c r="F680" s="8">
        <v>0.2</v>
      </c>
      <c r="G680" s="8"/>
      <c r="H680" s="8"/>
      <c r="I680" s="8"/>
      <c r="J680" s="8"/>
      <c r="K680" s="8"/>
      <c r="L680" s="8"/>
      <c r="M680" s="8"/>
      <c r="N680" s="8"/>
      <c r="O680" s="8"/>
    </row>
    <row r="681" spans="1:15">
      <c r="A681" s="8"/>
      <c r="B681" s="8"/>
      <c r="C681" s="8"/>
      <c r="D681" s="8"/>
      <c r="E681" s="8"/>
      <c r="F681" s="8" t="str">
        <v>K002</v>
      </c>
      <c r="G681" s="8"/>
      <c r="H681" s="8"/>
      <c r="I681" s="8"/>
      <c r="J681" s="8"/>
      <c r="K681" s="8"/>
      <c r="L681" s="8"/>
      <c r="M681" s="8"/>
      <c r="N681" s="8"/>
      <c r="O681" s="8"/>
    </row>
    <row r="682" spans="1:15">
      <c r="A682" s="8"/>
      <c r="B682" s="8"/>
      <c r="C682" s="8"/>
      <c r="D682" s="8"/>
      <c r="E682" s="8"/>
      <c r="F682" s="8" t="str">
        <v>B</v>
      </c>
      <c r="G682" s="8"/>
      <c r="H682" s="8"/>
      <c r="I682" s="8"/>
      <c r="J682" s="8"/>
      <c r="K682" s="8"/>
      <c r="L682" s="8"/>
      <c r="M682" s="8"/>
      <c r="N682" s="8"/>
      <c r="O682" s="8"/>
    </row>
    <row r="683" spans="1:15">
      <c r="A683" s="8"/>
      <c r="B683" s="8"/>
      <c r="C683" s="8"/>
      <c r="D683" s="8"/>
      <c r="E683" s="8"/>
      <c r="F683" s="8">
        <v>-0.3</v>
      </c>
      <c r="G683" s="8"/>
      <c r="H683" s="8"/>
      <c r="I683" s="8"/>
      <c r="J683" s="8"/>
      <c r="K683" s="8"/>
      <c r="L683" s="8"/>
      <c r="M683" s="8"/>
      <c r="N683" s="8"/>
      <c r="O683" s="8"/>
    </row>
    <row r="684" spans="1:15">
      <c r="A684" s="8"/>
      <c r="B684" s="8"/>
      <c r="C684" s="8"/>
      <c r="D684" s="8"/>
      <c r="E684" s="8"/>
      <c r="F684" s="8" t="str">
        <v>K003</v>
      </c>
      <c r="G684" s="8"/>
      <c r="H684" s="8"/>
      <c r="I684" s="8"/>
      <c r="J684" s="8"/>
      <c r="K684" s="8"/>
      <c r="L684" s="8"/>
      <c r="M684" s="8"/>
      <c r="N684" s="8"/>
      <c r="O684" s="8"/>
    </row>
    <row r="685" spans="1:15">
      <c r="A685" s="8"/>
      <c r="B685" s="8"/>
      <c r="C685" s="8"/>
      <c r="D685" s="8"/>
      <c r="E685" s="8"/>
      <c r="F685" s="8" t="str">
        <v>C</v>
      </c>
      <c r="G685" s="8"/>
      <c r="H685" s="8"/>
      <c r="I685" s="8"/>
      <c r="J685" s="8"/>
      <c r="K685" s="8"/>
      <c r="L685" s="8"/>
      <c r="M685" s="8"/>
      <c r="N685" s="8"/>
      <c r="O685" s="8"/>
    </row>
    <row r="686" spans="1:15">
      <c r="A686" s="8"/>
      <c r="B686" s="8"/>
      <c r="C686" s="8"/>
      <c r="D686" s="8"/>
      <c r="E686" s="8"/>
      <c r="F686" s="8">
        <v>1</v>
      </c>
      <c r="G686" s="8"/>
      <c r="H686" s="8"/>
      <c r="I686" s="8"/>
      <c r="J686" s="8"/>
      <c r="K686" s="8"/>
      <c r="L686" s="8"/>
      <c r="M686" s="8"/>
      <c r="N686" s="8"/>
      <c r="O686" s="8"/>
    </row>
    <row r="687" spans="1:15">
      <c r="A687" s="8"/>
      <c r="B687" s="8"/>
      <c r="C687" s="8"/>
      <c r="D687" s="8"/>
      <c r="E687" s="8"/>
      <c r="F687" s="8" t="str">
        <v>K004</v>
      </c>
      <c r="G687" s="8"/>
      <c r="H687" s="8"/>
      <c r="I687" s="8"/>
      <c r="J687" s="8"/>
      <c r="K687" s="8"/>
      <c r="L687" s="8"/>
      <c r="M687" s="8"/>
      <c r="N687" s="8"/>
      <c r="O687" s="8"/>
    </row>
    <row r="688" spans="1:15">
      <c r="A688" s="8"/>
      <c r="B688" s="8"/>
      <c r="C688" s="8"/>
      <c r="D688" s="8"/>
      <c r="E688" s="8"/>
      <c r="F688" s="8" t="str">
        <v>A</v>
      </c>
      <c r="G688" s="8"/>
      <c r="H688" s="8"/>
      <c r="I688" s="8"/>
      <c r="J688" s="8"/>
      <c r="K688" s="8"/>
      <c r="L688" s="8"/>
      <c r="M688" s="8"/>
      <c r="N688" s="8"/>
      <c r="O688" s="8"/>
    </row>
    <row r="689" spans="1:15">
      <c r="A689" s="8"/>
      <c r="B689" s="8"/>
      <c r="C689" s="8"/>
      <c r="D689" s="8"/>
      <c r="E689" s="8"/>
      <c r="F689" s="8">
        <v>2</v>
      </c>
      <c r="G689" s="8"/>
      <c r="H689" s="8"/>
      <c r="I689" s="8"/>
      <c r="J689" s="8"/>
      <c r="K689" s="8"/>
      <c r="L689" s="8"/>
      <c r="M689" s="8"/>
      <c r="N689" s="8"/>
      <c r="O689" s="8"/>
    </row>
    <row r="690" spans="1:15">
      <c r="A690" s="8"/>
      <c r="B690" s="8"/>
      <c r="C690" s="8"/>
      <c r="D690" s="8"/>
      <c r="E690" s="8"/>
      <c r="F690" s="8" t="str">
        <v>K005</v>
      </c>
      <c r="G690" s="8"/>
      <c r="H690" s="8"/>
      <c r="I690" s="8"/>
      <c r="J690" s="8"/>
      <c r="K690" s="8"/>
      <c r="L690" s="8"/>
      <c r="M690" s="8"/>
      <c r="N690" s="8"/>
      <c r="O690" s="8"/>
    </row>
    <row r="691" spans="1:15">
      <c r="A691" s="8"/>
      <c r="B691" s="8"/>
      <c r="C691" s="8"/>
      <c r="D691" s="8"/>
      <c r="E691" s="8"/>
      <c r="F691" s="8" t="str">
        <v>B</v>
      </c>
      <c r="G691" s="8"/>
      <c r="H691" s="8"/>
      <c r="I691" s="8"/>
      <c r="J691" s="8"/>
      <c r="K691" s="8"/>
      <c r="L691" s="8"/>
      <c r="M691" s="8"/>
      <c r="N691" s="8"/>
      <c r="O691" s="8"/>
    </row>
    <row r="701" spans="1:15" ht="20.100000000000001" customHeight="1">
      <c r="A701" s="8" t="s">
        <v>1213</v>
      </c>
      <c r="B701" s="8" t="s">
        <v>1126</v>
      </c>
      <c r="C701" s="8" t="s">
        <v>1214</v>
      </c>
      <c r="D701" s="8" t="s">
        <v>127</v>
      </c>
      <c r="E701" s="2" t="s">
        <v>1215</v>
      </c>
      <c r="F701" s="3" t="e" cm="1" vm="2">
        <f t="array" aca="1" ref="F701" ca="1">_xlfn.TOROW(SharedData!$A$6:$C$10,1,FALSE)</f>
        <v>#VALUE!</v>
      </c>
      <c r="G701" s="8"/>
      <c r="H701" s="8"/>
      <c r="I701" s="8"/>
      <c r="J701" s="8"/>
      <c r="K701" s="8"/>
      <c r="L701" s="8"/>
      <c r="M701" s="6" t="s">
        <v>129</v>
      </c>
      <c r="N701" s="8"/>
      <c r="O701" s="9" t="s">
        <v>130</v>
      </c>
    </row>
    <row r="725" spans="1:15" ht="20.100000000000001" customHeight="1">
      <c r="A725" s="8" t="s">
        <v>1216</v>
      </c>
      <c r="B725" s="8" t="s">
        <v>1126</v>
      </c>
      <c r="C725" s="8" t="s">
        <v>1217</v>
      </c>
      <c r="D725" s="8" t="s">
        <v>127</v>
      </c>
      <c r="E725" s="2" t="s">
        <v>1218</v>
      </c>
      <c r="F725" s="3" cm="1">
        <f t="array" ref="F725:J727">TRANSPOSE(SharedData!$A$6:$C$10)</f>
        <v>0.1</v>
      </c>
      <c r="G725" s="8">
        <v>0.2</v>
      </c>
      <c r="H725" s="8">
        <v>-0.3</v>
      </c>
      <c r="I725" s="8">
        <v>1</v>
      </c>
      <c r="J725" s="8">
        <v>2</v>
      </c>
      <c r="K725" s="8"/>
      <c r="L725" s="8"/>
      <c r="M725" s="6" t="s">
        <v>129</v>
      </c>
      <c r="N725" s="8"/>
      <c r="O725" s="9" t="s">
        <v>130</v>
      </c>
    </row>
    <row r="726" spans="1:15">
      <c r="A726" s="8"/>
      <c r="B726" s="8"/>
      <c r="C726" s="8"/>
      <c r="D726" s="8"/>
      <c r="E726" s="8"/>
      <c r="F726" s="8" t="str">
        <v>K001</v>
      </c>
      <c r="G726" s="8" t="str">
        <v>K002</v>
      </c>
      <c r="H726" s="8" t="str">
        <v>K003</v>
      </c>
      <c r="I726" s="8" t="str">
        <v>K004</v>
      </c>
      <c r="J726" s="8" t="str">
        <v>K005</v>
      </c>
      <c r="K726" s="8"/>
      <c r="L726" s="8"/>
      <c r="M726" s="8"/>
      <c r="N726" s="8"/>
      <c r="O726" s="8"/>
    </row>
    <row r="727" spans="1:15">
      <c r="A727" s="8"/>
      <c r="B727" s="8"/>
      <c r="C727" s="8"/>
      <c r="D727" s="8"/>
      <c r="E727" s="8"/>
      <c r="F727" s="8" t="str">
        <v>A</v>
      </c>
      <c r="G727" s="8" t="str">
        <v>B</v>
      </c>
      <c r="H727" s="8" t="str">
        <v>C</v>
      </c>
      <c r="I727" s="8" t="str">
        <v>A</v>
      </c>
      <c r="J727" s="8" t="str">
        <v>B</v>
      </c>
      <c r="K727" s="8"/>
      <c r="L727" s="8"/>
      <c r="M727" s="8"/>
      <c r="N727" s="8"/>
      <c r="O727" s="8"/>
    </row>
    <row r="749" spans="1:15" ht="20.100000000000001" customHeight="1">
      <c r="A749" s="8" t="s">
        <v>1219</v>
      </c>
      <c r="B749" s="8" t="s">
        <v>1126</v>
      </c>
      <c r="C749" s="8" t="s">
        <v>1220</v>
      </c>
      <c r="D749" s="8" t="s">
        <v>127</v>
      </c>
      <c r="E749" s="2" t="s">
        <v>1221</v>
      </c>
      <c r="F749" s="3" cm="1">
        <f t="array" ref="F749:H749">TREND(SharedData!$J$6:$J$15,SharedData!$I$6:$I$15,{21,22,23})</f>
        <v>45</v>
      </c>
      <c r="G749" s="8">
        <v>47</v>
      </c>
      <c r="H749" s="8">
        <v>49</v>
      </c>
      <c r="I749" s="8"/>
      <c r="J749" s="8"/>
      <c r="K749" s="8"/>
      <c r="L749" s="8"/>
      <c r="M749" s="6" t="s">
        <v>129</v>
      </c>
      <c r="N749" s="8"/>
      <c r="O749" s="9" t="s">
        <v>130</v>
      </c>
    </row>
    <row r="773" spans="1:15" ht="20.100000000000001" customHeight="1">
      <c r="A773" s="8" t="s">
        <v>1222</v>
      </c>
      <c r="B773" s="8" t="s">
        <v>1126</v>
      </c>
      <c r="C773" s="8" t="s">
        <v>1223</v>
      </c>
      <c r="D773" s="8" t="s">
        <v>127</v>
      </c>
      <c r="E773" s="2" t="s">
        <v>1224</v>
      </c>
      <c r="F773" s="3" t="str" cm="1">
        <f t="array" ref="F773:H793">_xlfn.TRIMRANGE(SharedData!$H$5:$J$27)</f>
        <v>Mixed</v>
      </c>
      <c r="G773" s="8" t="str">
        <v>X</v>
      </c>
      <c r="H773" s="8" t="str">
        <v>Y = 2X+3</v>
      </c>
      <c r="I773" s="8"/>
      <c r="J773" s="8"/>
      <c r="K773" s="8"/>
      <c r="L773" s="8"/>
      <c r="M773" s="6" t="s">
        <v>129</v>
      </c>
      <c r="N773" s="3" t="str">
        <f>IF(ISERROR(F773),"ERROR "&amp;IFERROR(ERROR.TYPE(F773),""),"OK")</f>
        <v>OK</v>
      </c>
      <c r="O773" s="9" t="s">
        <v>130</v>
      </c>
    </row>
    <row r="774" spans="1:15">
      <c r="A774" s="8"/>
      <c r="B774" s="8"/>
      <c r="C774" s="8"/>
      <c r="D774" s="8"/>
      <c r="E774" s="8"/>
      <c r="F774" s="8">
        <v>0</v>
      </c>
      <c r="G774" s="8">
        <v>1</v>
      </c>
      <c r="H774" s="8">
        <v>5</v>
      </c>
      <c r="I774" s="8"/>
      <c r="J774" s="8"/>
      <c r="K774" s="8"/>
      <c r="L774" s="8"/>
      <c r="M774" s="8"/>
      <c r="N774" s="8"/>
      <c r="O774" s="8"/>
    </row>
    <row r="775" spans="1:15">
      <c r="A775" s="8"/>
      <c r="B775" s="8"/>
      <c r="C775" s="8"/>
      <c r="D775" s="8"/>
      <c r="E775" s="8"/>
      <c r="F775" s="8" t="str">
        <v>text</v>
      </c>
      <c r="G775" s="8">
        <v>2</v>
      </c>
      <c r="H775" s="8">
        <v>7</v>
      </c>
      <c r="I775" s="8"/>
      <c r="J775" s="8"/>
      <c r="K775" s="8"/>
      <c r="L775" s="8"/>
      <c r="M775" s="8"/>
      <c r="N775" s="8"/>
      <c r="O775" s="8"/>
    </row>
    <row r="776" spans="1:15">
      <c r="A776" s="8"/>
      <c r="B776" s="8"/>
      <c r="C776" s="8"/>
      <c r="D776" s="8"/>
      <c r="E776" s="8"/>
      <c r="F776" s="8" t="b">
        <v>1</v>
      </c>
      <c r="G776" s="8">
        <v>3</v>
      </c>
      <c r="H776" s="8">
        <v>9</v>
      </c>
      <c r="I776" s="8"/>
      <c r="J776" s="8"/>
      <c r="K776" s="8"/>
      <c r="L776" s="8"/>
      <c r="M776" s="8"/>
      <c r="N776" s="8"/>
      <c r="O776" s="8"/>
    </row>
    <row r="777" spans="1:15">
      <c r="A777" s="8"/>
      <c r="B777" s="8"/>
      <c r="C777" s="8"/>
      <c r="D777" s="8"/>
      <c r="E777" s="8"/>
      <c r="F777" s="8" t="b">
        <v>0</v>
      </c>
      <c r="G777" s="8">
        <v>4</v>
      </c>
      <c r="H777" s="8">
        <v>11</v>
      </c>
      <c r="I777" s="8"/>
      <c r="J777" s="8"/>
      <c r="K777" s="8"/>
      <c r="L777" s="8"/>
      <c r="M777" s="8"/>
      <c r="N777" s="8"/>
      <c r="O777" s="8"/>
    </row>
    <row r="778" spans="1:15">
      <c r="A778" s="8"/>
      <c r="B778" s="8"/>
      <c r="C778" s="8"/>
      <c r="D778" s="8"/>
      <c r="E778" s="8"/>
      <c r="F778" s="8">
        <v>0</v>
      </c>
      <c r="G778" s="8">
        <v>5</v>
      </c>
      <c r="H778" s="8">
        <v>13</v>
      </c>
      <c r="I778" s="8"/>
      <c r="J778" s="8"/>
      <c r="K778" s="8"/>
      <c r="L778" s="8"/>
      <c r="M778" s="8"/>
      <c r="N778" s="8"/>
      <c r="O778" s="8"/>
    </row>
    <row r="779" spans="1:15">
      <c r="A779" s="8"/>
      <c r="B779" s="8"/>
      <c r="C779" s="8"/>
      <c r="D779" s="8"/>
      <c r="E779" s="8"/>
      <c r="F779" s="8" t="str">
        <v>0</v>
      </c>
      <c r="G779" s="8">
        <v>6</v>
      </c>
      <c r="H779" s="8">
        <v>15</v>
      </c>
      <c r="I779" s="8"/>
      <c r="J779" s="8"/>
      <c r="K779" s="8"/>
      <c r="L779" s="8"/>
      <c r="M779" s="8"/>
      <c r="N779" s="8"/>
      <c r="O779" s="8"/>
    </row>
    <row r="780" spans="1:15">
      <c r="A780" s="8"/>
      <c r="B780" s="8"/>
      <c r="C780" s="8"/>
      <c r="D780" s="8"/>
      <c r="E780" s="8"/>
      <c r="F780" s="8">
        <v>0</v>
      </c>
      <c r="G780" s="8">
        <v>7</v>
      </c>
      <c r="H780" s="8">
        <v>17</v>
      </c>
      <c r="I780" s="8"/>
      <c r="J780" s="8"/>
      <c r="K780" s="8"/>
      <c r="L780" s="8"/>
      <c r="M780" s="8"/>
      <c r="N780" s="8"/>
      <c r="O780" s="8"/>
    </row>
    <row r="781" spans="1:15">
      <c r="A781" s="8"/>
      <c r="B781" s="8"/>
      <c r="C781" s="8"/>
      <c r="D781" s="8"/>
      <c r="E781" s="8"/>
      <c r="F781" s="8" t="str">
        <v>CellRune</v>
      </c>
      <c r="G781" s="8">
        <v>8</v>
      </c>
      <c r="H781" s="8">
        <v>19</v>
      </c>
      <c r="I781" s="8"/>
      <c r="J781" s="8"/>
      <c r="K781" s="8"/>
      <c r="L781" s="8"/>
      <c r="M781" s="8"/>
      <c r="N781" s="8"/>
      <c r="O781" s="8"/>
    </row>
    <row r="782" spans="1:15">
      <c r="A782" s="8"/>
      <c r="B782" s="8"/>
      <c r="C782" s="8"/>
      <c r="D782" s="8"/>
      <c r="E782" s="8"/>
      <c r="F782" s="8" t="b">
        <v>1</v>
      </c>
      <c r="G782" s="8">
        <v>9</v>
      </c>
      <c r="H782" s="8">
        <v>21</v>
      </c>
      <c r="I782" s="8"/>
      <c r="J782" s="8"/>
      <c r="K782" s="8"/>
      <c r="L782" s="8"/>
      <c r="M782" s="8"/>
      <c r="N782" s="8"/>
      <c r="O782" s="8"/>
    </row>
    <row r="783" spans="1:15">
      <c r="A783" s="8"/>
      <c r="B783" s="8"/>
      <c r="C783" s="8"/>
      <c r="D783" s="8"/>
      <c r="E783" s="8"/>
      <c r="F783" s="8">
        <v>-1</v>
      </c>
      <c r="G783" s="8">
        <v>10</v>
      </c>
      <c r="H783" s="8">
        <v>23</v>
      </c>
      <c r="I783" s="8"/>
      <c r="J783" s="8"/>
      <c r="K783" s="8"/>
      <c r="L783" s="8"/>
      <c r="M783" s="8"/>
      <c r="N783" s="8"/>
      <c r="O783" s="8"/>
    </row>
    <row r="784" spans="1:15">
      <c r="A784" s="8"/>
      <c r="B784" s="8"/>
      <c r="C784" s="8"/>
      <c r="D784" s="8"/>
      <c r="E784" s="8"/>
      <c r="F784" s="8">
        <v>0</v>
      </c>
      <c r="G784" s="8">
        <v>11</v>
      </c>
      <c r="H784" s="8">
        <v>25</v>
      </c>
      <c r="I784" s="8"/>
      <c r="J784" s="8"/>
      <c r="K784" s="8"/>
      <c r="L784" s="8"/>
      <c r="M784" s="8"/>
      <c r="N784" s="8"/>
      <c r="O784" s="8"/>
    </row>
    <row r="785" spans="1:15">
      <c r="A785" s="8"/>
      <c r="B785" s="8"/>
      <c r="C785" s="8"/>
      <c r="D785" s="8"/>
      <c r="E785" s="8"/>
      <c r="F785" s="8" t="str">
        <v>text</v>
      </c>
      <c r="G785" s="8">
        <v>12</v>
      </c>
      <c r="H785" s="8">
        <v>27</v>
      </c>
      <c r="I785" s="8"/>
      <c r="J785" s="8"/>
      <c r="K785" s="8"/>
      <c r="L785" s="8"/>
      <c r="M785" s="8"/>
      <c r="N785" s="8"/>
      <c r="O785" s="8"/>
    </row>
    <row r="786" spans="1:15">
      <c r="A786" s="8"/>
      <c r="B786" s="8"/>
      <c r="C786" s="8"/>
      <c r="D786" s="8"/>
      <c r="E786" s="8"/>
      <c r="F786" s="8" t="b">
        <v>1</v>
      </c>
      <c r="G786" s="8">
        <v>13</v>
      </c>
      <c r="H786" s="8">
        <v>29</v>
      </c>
      <c r="I786" s="8"/>
      <c r="J786" s="8"/>
      <c r="K786" s="8"/>
      <c r="L786" s="8"/>
      <c r="M786" s="8"/>
      <c r="N786" s="8"/>
      <c r="O786" s="8"/>
    </row>
    <row r="787" spans="1:15">
      <c r="A787" s="8"/>
      <c r="B787" s="8"/>
      <c r="C787" s="8"/>
      <c r="D787" s="8"/>
      <c r="E787" s="8"/>
      <c r="F787" s="8" t="b">
        <v>0</v>
      </c>
      <c r="G787" s="8">
        <v>14</v>
      </c>
      <c r="H787" s="8">
        <v>31</v>
      </c>
      <c r="I787" s="8"/>
      <c r="J787" s="8"/>
      <c r="K787" s="8"/>
      <c r="L787" s="8"/>
      <c r="M787" s="8"/>
      <c r="N787" s="8"/>
      <c r="O787" s="8"/>
    </row>
    <row r="788" spans="1:15">
      <c r="A788" s="8"/>
      <c r="B788" s="8"/>
      <c r="C788" s="8"/>
      <c r="D788" s="8"/>
      <c r="E788" s="8"/>
      <c r="F788" s="8">
        <v>0</v>
      </c>
      <c r="G788" s="8">
        <v>15</v>
      </c>
      <c r="H788" s="8">
        <v>33</v>
      </c>
      <c r="I788" s="8"/>
      <c r="J788" s="8"/>
      <c r="K788" s="8"/>
      <c r="L788" s="8"/>
      <c r="M788" s="8"/>
      <c r="N788" s="8"/>
      <c r="O788" s="8"/>
    </row>
    <row r="789" spans="1:15">
      <c r="A789" s="8"/>
      <c r="B789" s="8"/>
      <c r="C789" s="8"/>
      <c r="D789" s="8"/>
      <c r="E789" s="8"/>
      <c r="F789" s="8" t="str">
        <v>0</v>
      </c>
      <c r="G789" s="8">
        <v>16</v>
      </c>
      <c r="H789" s="8">
        <v>35</v>
      </c>
      <c r="I789" s="8"/>
      <c r="J789" s="8"/>
      <c r="K789" s="8"/>
      <c r="L789" s="8"/>
      <c r="M789" s="8"/>
      <c r="N789" s="8"/>
      <c r="O789" s="8"/>
    </row>
    <row r="790" spans="1:15">
      <c r="A790" s="8"/>
      <c r="B790" s="8"/>
      <c r="C790" s="8"/>
      <c r="D790" s="8"/>
      <c r="E790" s="8"/>
      <c r="F790" s="8">
        <v>0</v>
      </c>
      <c r="G790" s="8">
        <v>17</v>
      </c>
      <c r="H790" s="8">
        <v>37</v>
      </c>
      <c r="I790" s="8"/>
      <c r="J790" s="8"/>
      <c r="K790" s="8"/>
      <c r="L790" s="8"/>
      <c r="M790" s="8"/>
      <c r="N790" s="8"/>
      <c r="O790" s="8"/>
    </row>
    <row r="791" spans="1:15">
      <c r="A791" s="8"/>
      <c r="B791" s="8"/>
      <c r="C791" s="8"/>
      <c r="D791" s="8"/>
      <c r="E791" s="8"/>
      <c r="F791" s="8" t="str">
        <v>CellRune</v>
      </c>
      <c r="G791" s="8">
        <v>18</v>
      </c>
      <c r="H791" s="8">
        <v>39</v>
      </c>
      <c r="I791" s="8"/>
      <c r="J791" s="8"/>
      <c r="K791" s="8"/>
      <c r="L791" s="8"/>
      <c r="M791" s="8"/>
      <c r="N791" s="8"/>
      <c r="O791" s="8"/>
    </row>
    <row r="792" spans="1:15">
      <c r="A792" s="8"/>
      <c r="B792" s="8"/>
      <c r="C792" s="8"/>
      <c r="D792" s="8"/>
      <c r="E792" s="8"/>
      <c r="F792" s="8" t="b">
        <v>1</v>
      </c>
      <c r="G792" s="8">
        <v>19</v>
      </c>
      <c r="H792" s="8">
        <v>41</v>
      </c>
      <c r="I792" s="8"/>
      <c r="J792" s="8"/>
      <c r="K792" s="8"/>
      <c r="L792" s="8"/>
      <c r="M792" s="8"/>
      <c r="N792" s="8"/>
      <c r="O792" s="8"/>
    </row>
    <row r="793" spans="1:15">
      <c r="A793" s="8"/>
      <c r="B793" s="8"/>
      <c r="C793" s="8"/>
      <c r="D793" s="8"/>
      <c r="E793" s="8"/>
      <c r="F793" s="8">
        <v>-1</v>
      </c>
      <c r="G793" s="8">
        <v>20</v>
      </c>
      <c r="H793" s="8">
        <v>43</v>
      </c>
      <c r="I793" s="8"/>
      <c r="J793" s="8"/>
      <c r="K793" s="8"/>
      <c r="L793" s="8"/>
      <c r="M793" s="8"/>
      <c r="N793" s="8"/>
      <c r="O793" s="8"/>
    </row>
    <row r="797" spans="1:15" ht="20.100000000000001" customHeight="1">
      <c r="A797" s="8" t="s">
        <v>1225</v>
      </c>
      <c r="B797" s="8" t="s">
        <v>1126</v>
      </c>
      <c r="C797" s="8" t="s">
        <v>1226</v>
      </c>
      <c r="D797" s="8" t="s">
        <v>127</v>
      </c>
      <c r="E797" s="2" t="s">
        <v>1227</v>
      </c>
      <c r="F797" s="3" t="str" cm="1">
        <f t="array" ref="F797:F799">_xlfn.UNIQUE(SharedData!$C$6:$C$25,FALSE,FALSE)</f>
        <v>A</v>
      </c>
      <c r="G797" s="8"/>
      <c r="H797" s="8"/>
      <c r="I797" s="8"/>
      <c r="J797" s="8"/>
      <c r="K797" s="8"/>
      <c r="L797" s="8"/>
      <c r="M797" s="6" t="s">
        <v>129</v>
      </c>
      <c r="N797" s="8"/>
      <c r="O797" s="9" t="s">
        <v>130</v>
      </c>
    </row>
    <row r="798" spans="1:15">
      <c r="A798" s="8"/>
      <c r="B798" s="8"/>
      <c r="C798" s="8"/>
      <c r="D798" s="8"/>
      <c r="E798" s="8"/>
      <c r="F798" s="8" t="str">
        <v>B</v>
      </c>
      <c r="G798" s="8"/>
      <c r="H798" s="8"/>
      <c r="I798" s="8"/>
      <c r="J798" s="8"/>
      <c r="K798" s="8"/>
      <c r="L798" s="8"/>
      <c r="M798" s="8"/>
      <c r="N798" s="8"/>
      <c r="O798" s="8"/>
    </row>
    <row r="799" spans="1:15">
      <c r="A799" s="8"/>
      <c r="B799" s="8"/>
      <c r="C799" s="8"/>
      <c r="D799" s="8"/>
      <c r="E799" s="8"/>
      <c r="F799" s="8" t="str">
        <v>C</v>
      </c>
      <c r="G799" s="8"/>
      <c r="H799" s="8"/>
      <c r="I799" s="8"/>
      <c r="J799" s="8"/>
      <c r="K799" s="8"/>
      <c r="L799" s="8"/>
      <c r="M799" s="8"/>
      <c r="N799" s="8"/>
      <c r="O799" s="8"/>
    </row>
    <row r="821" spans="1:15" ht="20.100000000000001" customHeight="1">
      <c r="A821" s="8" t="s">
        <v>1228</v>
      </c>
      <c r="B821" s="8" t="s">
        <v>1126</v>
      </c>
      <c r="C821" s="8" t="s">
        <v>1229</v>
      </c>
      <c r="D821" s="8" t="s">
        <v>127</v>
      </c>
      <c r="E821" s="2" t="s">
        <v>1230</v>
      </c>
      <c r="F821" s="3" cm="1">
        <f t="array" ref="F821:H826">_xlfn.VSTACK(SharedData!$A$6:$C$8,SharedData!$A$12:$C$14)</f>
        <v>0.1</v>
      </c>
      <c r="G821" s="8" t="str">
        <v>K001</v>
      </c>
      <c r="H821" s="8" t="str">
        <v>A</v>
      </c>
      <c r="I821" s="8"/>
      <c r="J821" s="8"/>
      <c r="K821" s="8"/>
      <c r="L821" s="8"/>
      <c r="M821" s="6" t="s">
        <v>129</v>
      </c>
      <c r="N821" s="8"/>
      <c r="O821" s="9" t="s">
        <v>130</v>
      </c>
    </row>
    <row r="822" spans="1:15">
      <c r="A822" s="8"/>
      <c r="B822" s="8"/>
      <c r="C822" s="8"/>
      <c r="D822" s="8"/>
      <c r="E822" s="8"/>
      <c r="F822" s="8">
        <v>0.2</v>
      </c>
      <c r="G822" s="8" t="str">
        <v>K002</v>
      </c>
      <c r="H822" s="8" t="str">
        <v>B</v>
      </c>
      <c r="I822" s="8"/>
      <c r="J822" s="8"/>
      <c r="K822" s="8"/>
      <c r="L822" s="8"/>
      <c r="M822" s="8"/>
      <c r="N822" s="8"/>
      <c r="O822" s="8"/>
    </row>
    <row r="823" spans="1:15">
      <c r="A823" s="8"/>
      <c r="B823" s="8"/>
      <c r="C823" s="8"/>
      <c r="D823" s="8"/>
      <c r="E823" s="8"/>
      <c r="F823" s="8">
        <v>-0.3</v>
      </c>
      <c r="G823" s="8" t="str">
        <v>K003</v>
      </c>
      <c r="H823" s="8" t="str">
        <v>C</v>
      </c>
      <c r="I823" s="8"/>
      <c r="J823" s="8"/>
      <c r="K823" s="8"/>
      <c r="L823" s="8"/>
      <c r="M823" s="8"/>
      <c r="N823" s="8"/>
      <c r="O823" s="8"/>
    </row>
    <row r="824" spans="1:15">
      <c r="A824" s="8"/>
      <c r="B824" s="8"/>
      <c r="C824" s="8"/>
      <c r="D824" s="8"/>
      <c r="E824" s="8"/>
      <c r="F824" s="8">
        <v>4</v>
      </c>
      <c r="G824" s="8" t="str">
        <v>K007</v>
      </c>
      <c r="H824" s="8" t="str">
        <v>A</v>
      </c>
      <c r="I824" s="8"/>
      <c r="J824" s="8"/>
      <c r="K824" s="8"/>
      <c r="L824" s="8"/>
      <c r="M824" s="8"/>
      <c r="N824" s="8"/>
      <c r="O824" s="8"/>
    </row>
    <row r="825" spans="1:15">
      <c r="A825" s="8"/>
      <c r="B825" s="8"/>
      <c r="C825" s="8"/>
      <c r="D825" s="8"/>
      <c r="E825" s="8"/>
      <c r="F825" s="8">
        <v>5</v>
      </c>
      <c r="G825" s="8" t="str">
        <v>K008</v>
      </c>
      <c r="H825" s="8" t="str">
        <v>B</v>
      </c>
      <c r="I825" s="8"/>
      <c r="J825" s="8"/>
      <c r="K825" s="8"/>
      <c r="L825" s="8"/>
      <c r="M825" s="8"/>
      <c r="N825" s="8"/>
      <c r="O825" s="8"/>
    </row>
    <row r="826" spans="1:15">
      <c r="A826" s="8"/>
      <c r="B826" s="8"/>
      <c r="C826" s="8"/>
      <c r="D826" s="8"/>
      <c r="E826" s="8"/>
      <c r="F826" s="8">
        <v>10</v>
      </c>
      <c r="G826" s="8" t="str">
        <v>K009</v>
      </c>
      <c r="H826" s="8" t="str">
        <v>C</v>
      </c>
      <c r="I826" s="8"/>
      <c r="J826" s="8"/>
      <c r="K826" s="8"/>
      <c r="L826" s="8"/>
      <c r="M826" s="8"/>
      <c r="N826" s="8"/>
      <c r="O826" s="8"/>
    </row>
    <row r="845" spans="1:15" ht="20.100000000000001" customHeight="1">
      <c r="A845" s="8" t="s">
        <v>1231</v>
      </c>
      <c r="B845" s="8" t="s">
        <v>1126</v>
      </c>
      <c r="C845" s="8" t="s">
        <v>1232</v>
      </c>
      <c r="D845" s="8" t="s">
        <v>127</v>
      </c>
      <c r="E845" s="2" t="s">
        <v>1233</v>
      </c>
      <c r="F845" s="3" cm="1">
        <f t="array" ref="F845:H848">_xlfn.WRAPCOLS(SharedData!$E$6:$E$15,4,"pad")</f>
        <v>10</v>
      </c>
      <c r="G845" s="8">
        <v>50</v>
      </c>
      <c r="H845" s="8">
        <v>90</v>
      </c>
      <c r="I845" s="8"/>
      <c r="J845" s="8"/>
      <c r="K845" s="8"/>
      <c r="L845" s="8"/>
      <c r="M845" s="6" t="s">
        <v>129</v>
      </c>
      <c r="N845" s="8"/>
      <c r="O845" s="9" t="s">
        <v>130</v>
      </c>
    </row>
    <row r="846" spans="1:15">
      <c r="A846" s="8"/>
      <c r="B846" s="8"/>
      <c r="C846" s="8"/>
      <c r="D846" s="8"/>
      <c r="E846" s="8"/>
      <c r="F846" s="8">
        <v>20</v>
      </c>
      <c r="G846" s="8">
        <v>60</v>
      </c>
      <c r="H846" s="8">
        <v>100</v>
      </c>
      <c r="I846" s="8"/>
      <c r="J846" s="8"/>
      <c r="K846" s="8"/>
      <c r="L846" s="8"/>
      <c r="M846" s="8"/>
      <c r="N846" s="8"/>
      <c r="O846" s="8"/>
    </row>
    <row r="847" spans="1:15">
      <c r="A847" s="8"/>
      <c r="B847" s="8"/>
      <c r="C847" s="8"/>
      <c r="D847" s="8"/>
      <c r="E847" s="8"/>
      <c r="F847" s="8">
        <v>30</v>
      </c>
      <c r="G847" s="8">
        <v>70</v>
      </c>
      <c r="H847" s="8" t="str">
        <v>pad</v>
      </c>
      <c r="I847" s="8"/>
      <c r="J847" s="8"/>
      <c r="K847" s="8"/>
      <c r="L847" s="8"/>
      <c r="M847" s="8"/>
      <c r="N847" s="8"/>
      <c r="O847" s="8"/>
    </row>
    <row r="848" spans="1:15">
      <c r="A848" s="8"/>
      <c r="B848" s="8"/>
      <c r="C848" s="8"/>
      <c r="D848" s="8"/>
      <c r="E848" s="8"/>
      <c r="F848" s="8">
        <v>40</v>
      </c>
      <c r="G848" s="8">
        <v>80</v>
      </c>
      <c r="H848" s="8" t="str">
        <v>pad</v>
      </c>
      <c r="I848" s="8"/>
      <c r="J848" s="8"/>
      <c r="K848" s="8"/>
      <c r="L848" s="8"/>
      <c r="M848" s="8"/>
      <c r="N848" s="8"/>
      <c r="O848" s="8"/>
    </row>
    <row r="869" spans="1:16" ht="20.100000000000001" customHeight="1">
      <c r="A869" s="8" t="s">
        <v>1234</v>
      </c>
      <c r="B869" s="8" t="s">
        <v>1126</v>
      </c>
      <c r="C869" s="8" t="s">
        <v>1235</v>
      </c>
      <c r="D869" s="8" t="s">
        <v>127</v>
      </c>
      <c r="E869" s="2" t="s">
        <v>1236</v>
      </c>
      <c r="F869" s="3" cm="1">
        <f t="array" ref="F869:I871">_xlfn.WRAPROWS(SharedData!$E$6:$E$15,4,"pad")</f>
        <v>10</v>
      </c>
      <c r="G869" s="8">
        <v>20</v>
      </c>
      <c r="H869" s="8">
        <v>30</v>
      </c>
      <c r="I869" s="8">
        <v>40</v>
      </c>
      <c r="J869" s="8"/>
      <c r="K869" s="8"/>
      <c r="L869" s="8"/>
      <c r="M869" s="6" t="s">
        <v>129</v>
      </c>
      <c r="N869" s="8"/>
      <c r="O869" s="9" t="s">
        <v>130</v>
      </c>
      <c r="P869" s="3">
        <f>IFERROR(N(F869),0)+IFERROR(N(ArraysCSE!$F$581),0)+ROW()/100000</f>
        <v>10.00869</v>
      </c>
    </row>
    <row r="870" spans="1:16">
      <c r="A870" s="8"/>
      <c r="B870" s="8"/>
      <c r="C870" s="8"/>
      <c r="D870" s="8"/>
      <c r="E870" s="8"/>
      <c r="F870" s="8">
        <v>50</v>
      </c>
      <c r="G870" s="8">
        <v>60</v>
      </c>
      <c r="H870" s="8">
        <v>70</v>
      </c>
      <c r="I870" s="8">
        <v>80</v>
      </c>
      <c r="J870" s="8"/>
      <c r="K870" s="8"/>
      <c r="L870" s="8"/>
      <c r="M870" s="8"/>
      <c r="N870" s="8"/>
      <c r="O870" s="8"/>
      <c r="P870" s="8"/>
    </row>
    <row r="871" spans="1:16">
      <c r="A871" s="8"/>
      <c r="B871" s="8"/>
      <c r="C871" s="8"/>
      <c r="D871" s="8"/>
      <c r="E871" s="8"/>
      <c r="F871" s="8">
        <v>90</v>
      </c>
      <c r="G871" s="8">
        <v>100</v>
      </c>
      <c r="H871" s="8" t="str">
        <v>pad</v>
      </c>
      <c r="I871" s="8" t="str">
        <v>pad</v>
      </c>
      <c r="J871" s="8"/>
      <c r="K871" s="8"/>
      <c r="L871" s="8"/>
      <c r="M871" s="8"/>
      <c r="N871" s="8"/>
      <c r="O871" s="8"/>
      <c r="P871" s="8"/>
    </row>
    <row r="893" spans="1:15" ht="20.100000000000001" customHeight="1">
      <c r="A893" s="8" t="s">
        <v>1237</v>
      </c>
      <c r="B893" s="8" t="s">
        <v>537</v>
      </c>
      <c r="C893" s="8" t="s">
        <v>538</v>
      </c>
      <c r="D893" s="8" t="s">
        <v>539</v>
      </c>
      <c r="E893" s="2" t="s">
        <v>1238</v>
      </c>
      <c r="F893" s="3" cm="1">
        <f t="array" ref="F893:K897">_xlfn._xlws.FILTER(SharedData!$A$6:$F$25,(SharedData!$C$6:$C$25="A")*(SharedData!$E$6:$E$25&gt;50),"none")</f>
        <v>4</v>
      </c>
      <c r="G893" s="8" t="str">
        <v>K007</v>
      </c>
      <c r="H893" s="8" t="str">
        <v>A</v>
      </c>
      <c r="I893" s="8">
        <v>44017</v>
      </c>
      <c r="J893" s="8">
        <v>70</v>
      </c>
      <c r="K893" s="8">
        <v>7</v>
      </c>
      <c r="L893" s="8"/>
      <c r="M893" s="6" t="s">
        <v>129</v>
      </c>
      <c r="N893" s="8"/>
      <c r="O893" s="9" t="s">
        <v>541</v>
      </c>
    </row>
    <row r="894" spans="1:15">
      <c r="A894" s="8"/>
      <c r="B894" s="8"/>
      <c r="C894" s="8"/>
      <c r="D894" s="8"/>
      <c r="E894" s="8"/>
      <c r="F894" s="8">
        <v>-10</v>
      </c>
      <c r="G894" s="8" t="str">
        <v>K010</v>
      </c>
      <c r="H894" s="8" t="str">
        <v>A</v>
      </c>
      <c r="I894" s="8">
        <v>44110</v>
      </c>
      <c r="J894" s="8">
        <v>100</v>
      </c>
      <c r="K894" s="8">
        <v>3</v>
      </c>
      <c r="L894" s="8"/>
      <c r="M894" s="8"/>
      <c r="N894" s="8"/>
      <c r="O894" s="8"/>
    </row>
    <row r="895" spans="1:15">
      <c r="A895" s="8"/>
      <c r="B895" s="8"/>
      <c r="C895" s="8"/>
      <c r="D895" s="8"/>
      <c r="E895" s="8"/>
      <c r="F895" s="8">
        <v>0</v>
      </c>
      <c r="G895" s="8" t="str">
        <v>K013</v>
      </c>
      <c r="H895" s="8" t="str">
        <v>A</v>
      </c>
      <c r="I895" s="8">
        <v>44203</v>
      </c>
      <c r="J895" s="8">
        <v>130</v>
      </c>
      <c r="K895" s="8">
        <v>6</v>
      </c>
      <c r="L895" s="8"/>
      <c r="M895" s="8"/>
      <c r="N895" s="8"/>
      <c r="O895" s="8"/>
    </row>
    <row r="896" spans="1:15">
      <c r="A896" s="8"/>
      <c r="B896" s="8"/>
      <c r="C896" s="8"/>
      <c r="D896" s="8"/>
      <c r="E896" s="8"/>
      <c r="F896" s="8">
        <v>3.5</v>
      </c>
      <c r="G896" s="8" t="str">
        <v>K016</v>
      </c>
      <c r="H896" s="8" t="str">
        <v>A</v>
      </c>
      <c r="I896" s="8">
        <v>44296</v>
      </c>
      <c r="J896" s="8">
        <v>160</v>
      </c>
      <c r="K896" s="8">
        <v>2</v>
      </c>
      <c r="L896" s="8"/>
      <c r="M896" s="8"/>
      <c r="N896" s="8"/>
      <c r="O896" s="8"/>
    </row>
    <row r="897" spans="6:11">
      <c r="F897" s="8">
        <v>0.05</v>
      </c>
      <c r="G897" s="8" t="str">
        <v>K019</v>
      </c>
      <c r="H897" s="8" t="str">
        <v>A</v>
      </c>
      <c r="I897" s="8">
        <v>44389</v>
      </c>
      <c r="J897" s="8">
        <v>190</v>
      </c>
      <c r="K897" s="8">
        <v>5</v>
      </c>
    </row>
    <row r="917" spans="1:15" ht="20.100000000000001" customHeight="1">
      <c r="A917" s="8" t="s">
        <v>1239</v>
      </c>
      <c r="B917" s="8" t="s">
        <v>537</v>
      </c>
      <c r="C917" s="8" t="s">
        <v>538</v>
      </c>
      <c r="D917" s="8" t="s">
        <v>539</v>
      </c>
      <c r="E917" s="2" t="s">
        <v>1240</v>
      </c>
      <c r="F917" s="3" t="str" cm="1">
        <f t="array" ref="F917">_xlfn._xlws.FILTER(SharedData!$E$6:$E$25,SharedData!$E$6:$E$25&gt;100000,"none")</f>
        <v>none</v>
      </c>
      <c r="G917" s="8"/>
      <c r="H917" s="8"/>
      <c r="I917" s="8"/>
      <c r="J917" s="8"/>
      <c r="K917" s="8"/>
      <c r="L917" s="8"/>
      <c r="M917" s="6" t="s">
        <v>129</v>
      </c>
      <c r="N917" s="8"/>
      <c r="O917" s="9" t="s">
        <v>541</v>
      </c>
    </row>
    <row r="941" spans="1:15" ht="20.100000000000001" customHeight="1">
      <c r="A941" s="8" t="s">
        <v>1241</v>
      </c>
      <c r="B941" s="8" t="s">
        <v>537</v>
      </c>
      <c r="C941" s="8" t="s">
        <v>538</v>
      </c>
      <c r="D941" s="8" t="s">
        <v>539</v>
      </c>
      <c r="E941" s="2" t="s">
        <v>1242</v>
      </c>
      <c r="F941" s="3" cm="1">
        <f t="array" ref="F941:H960">_xlfn.SORTBY(_xlfn.UNIQUE(SharedData!$A$6:$C$25),SharedData!$A$6:$A$25,1)</f>
        <v>-10</v>
      </c>
      <c r="G941" s="8" t="str">
        <v>K010</v>
      </c>
      <c r="H941" s="8" t="str">
        <v>A</v>
      </c>
      <c r="I941" s="8"/>
      <c r="J941" s="8"/>
      <c r="K941" s="8"/>
      <c r="L941" s="8"/>
      <c r="M941" s="6" t="s">
        <v>129</v>
      </c>
      <c r="N941" s="8"/>
      <c r="O941" s="9" t="s">
        <v>541</v>
      </c>
    </row>
    <row r="942" spans="1:15">
      <c r="A942" s="8"/>
      <c r="B942" s="8"/>
      <c r="C942" s="8"/>
      <c r="D942" s="8"/>
      <c r="E942" s="8"/>
      <c r="F942" s="8">
        <v>-0.3</v>
      </c>
      <c r="G942" s="8" t="str">
        <v>K003</v>
      </c>
      <c r="H942" s="8" t="str">
        <v>C</v>
      </c>
      <c r="I942" s="8"/>
      <c r="J942" s="8"/>
      <c r="K942" s="8"/>
      <c r="L942" s="8"/>
      <c r="M942" s="8"/>
      <c r="N942" s="8"/>
      <c r="O942" s="8"/>
    </row>
    <row r="943" spans="1:15">
      <c r="A943" s="8"/>
      <c r="B943" s="8"/>
      <c r="C943" s="8"/>
      <c r="D943" s="8"/>
      <c r="E943" s="8"/>
      <c r="F943" s="8">
        <v>0</v>
      </c>
      <c r="G943" s="8" t="str">
        <v>K013</v>
      </c>
      <c r="H943" s="8" t="str">
        <v>A</v>
      </c>
      <c r="I943" s="8"/>
      <c r="J943" s="8"/>
      <c r="K943" s="8"/>
      <c r="L943" s="8"/>
      <c r="M943" s="8"/>
      <c r="N943" s="8"/>
      <c r="O943" s="8"/>
    </row>
    <row r="944" spans="1:15">
      <c r="A944" s="8"/>
      <c r="B944" s="8"/>
      <c r="C944" s="8"/>
      <c r="D944" s="8"/>
      <c r="E944" s="8"/>
      <c r="F944" s="8">
        <v>0.05</v>
      </c>
      <c r="G944" s="8" t="str">
        <v>K019</v>
      </c>
      <c r="H944" s="8" t="str">
        <v>A</v>
      </c>
      <c r="I944" s="8"/>
      <c r="J944" s="8"/>
      <c r="K944" s="8"/>
      <c r="L944" s="8"/>
      <c r="M944" s="8"/>
      <c r="N944" s="8"/>
      <c r="O944" s="8"/>
    </row>
    <row r="945" spans="6:8">
      <c r="F945" s="8">
        <v>0.1</v>
      </c>
      <c r="G945" s="8" t="str">
        <v>K001</v>
      </c>
      <c r="H945" s="8" t="str">
        <v>A</v>
      </c>
    </row>
    <row r="946" spans="6:8">
      <c r="F946" s="8">
        <v>0.1</v>
      </c>
      <c r="G946" s="8" t="str">
        <v>K020</v>
      </c>
      <c r="H946" s="8" t="str">
        <v>B</v>
      </c>
    </row>
    <row r="947" spans="6:8">
      <c r="F947" s="8">
        <v>0.2</v>
      </c>
      <c r="G947" s="8" t="str">
        <v>K002</v>
      </c>
      <c r="H947" s="8" t="str">
        <v>B</v>
      </c>
    </row>
    <row r="948" spans="6:8">
      <c r="F948" s="8">
        <v>1</v>
      </c>
      <c r="G948" s="8" t="str">
        <v>K004</v>
      </c>
      <c r="H948" s="8" t="str">
        <v>A</v>
      </c>
    </row>
    <row r="949" spans="6:8">
      <c r="F949" s="8">
        <v>1.5</v>
      </c>
      <c r="G949" s="8" t="str">
        <v>K014</v>
      </c>
      <c r="H949" s="8" t="str">
        <v>B</v>
      </c>
    </row>
    <row r="950" spans="6:8">
      <c r="F950" s="8">
        <v>2</v>
      </c>
      <c r="G950" s="8" t="str">
        <v>K005</v>
      </c>
      <c r="H950" s="8" t="str">
        <v>B</v>
      </c>
    </row>
    <row r="951" spans="6:8">
      <c r="F951" s="8">
        <v>2.5</v>
      </c>
      <c r="G951" s="8" t="str">
        <v>K015</v>
      </c>
      <c r="H951" s="8" t="str">
        <v>C</v>
      </c>
    </row>
    <row r="952" spans="6:8">
      <c r="F952" s="8">
        <v>3</v>
      </c>
      <c r="G952" s="8" t="str">
        <v>K006</v>
      </c>
      <c r="H952" s="8" t="str">
        <v>C</v>
      </c>
    </row>
    <row r="953" spans="6:8">
      <c r="F953" s="8">
        <v>3.5</v>
      </c>
      <c r="G953" s="8" t="str">
        <v>K016</v>
      </c>
      <c r="H953" s="8" t="str">
        <v>A</v>
      </c>
    </row>
    <row r="954" spans="6:8">
      <c r="F954" s="8">
        <v>4</v>
      </c>
      <c r="G954" s="8" t="str">
        <v>K007</v>
      </c>
      <c r="H954" s="8" t="str">
        <v>A</v>
      </c>
    </row>
    <row r="955" spans="6:8">
      <c r="F955" s="8">
        <v>4.5</v>
      </c>
      <c r="G955" s="8" t="str">
        <v>K017</v>
      </c>
      <c r="H955" s="8" t="str">
        <v>B</v>
      </c>
    </row>
    <row r="956" spans="6:8">
      <c r="F956" s="8">
        <v>5</v>
      </c>
      <c r="G956" s="8" t="str">
        <v>K008</v>
      </c>
      <c r="H956" s="8" t="str">
        <v>B</v>
      </c>
    </row>
    <row r="957" spans="6:8">
      <c r="F957" s="8">
        <v>5.5</v>
      </c>
      <c r="G957" s="8" t="str">
        <v>K018</v>
      </c>
      <c r="H957" s="8" t="str">
        <v>C</v>
      </c>
    </row>
    <row r="958" spans="6:8">
      <c r="F958" s="8">
        <v>10</v>
      </c>
      <c r="G958" s="8" t="str">
        <v>K009</v>
      </c>
      <c r="H958" s="8" t="str">
        <v>C</v>
      </c>
    </row>
    <row r="959" spans="6:8">
      <c r="F959" s="8">
        <v>25</v>
      </c>
      <c r="G959" s="8" t="str">
        <v>K011</v>
      </c>
      <c r="H959" s="8" t="str">
        <v>B</v>
      </c>
    </row>
    <row r="960" spans="6:8">
      <c r="F960" s="8">
        <v>100</v>
      </c>
      <c r="G960" s="8" t="str">
        <v>K012</v>
      </c>
      <c r="H960" s="8" t="str">
        <v>C</v>
      </c>
    </row>
    <row r="965" spans="1:15" ht="20.100000000000001" customHeight="1">
      <c r="A965" s="8" t="s">
        <v>1243</v>
      </c>
      <c r="B965" s="8" t="s">
        <v>537</v>
      </c>
      <c r="C965" s="8" t="s">
        <v>538</v>
      </c>
      <c r="D965" s="8" t="s">
        <v>539</v>
      </c>
      <c r="E965" s="2" t="s">
        <v>1244</v>
      </c>
      <c r="F965" s="3" t="str" cm="1">
        <f t="array" ref="F965:F967">_xlfn.UNIQUE(SharedData!$C$6:$C$25)</f>
        <v>A</v>
      </c>
      <c r="G965" s="8"/>
      <c r="H965" s="8"/>
      <c r="I965" s="8"/>
      <c r="J965" s="8"/>
      <c r="K965" s="8"/>
      <c r="L965" s="8"/>
      <c r="M965" s="6" t="s">
        <v>129</v>
      </c>
      <c r="N965" s="3" t="str">
        <f>IF(ISERROR(F965),"ERROR "&amp;IFERROR(ERROR.TYPE(F965),""),"OK")</f>
        <v>OK</v>
      </c>
      <c r="O965" s="9" t="s">
        <v>541</v>
      </c>
    </row>
    <row r="966" spans="1:15">
      <c r="A966" s="8"/>
      <c r="B966" s="8"/>
      <c r="C966" s="8"/>
      <c r="D966" s="8"/>
      <c r="E966" s="8"/>
      <c r="F966" s="8" t="str">
        <v>B</v>
      </c>
      <c r="G966" s="8"/>
      <c r="H966" s="8"/>
      <c r="I966" s="8"/>
      <c r="J966" s="8"/>
      <c r="K966" s="8"/>
      <c r="L966" s="8"/>
      <c r="M966" s="8"/>
      <c r="N966" s="8"/>
      <c r="O966" s="8"/>
    </row>
    <row r="967" spans="1:15">
      <c r="A967" s="8"/>
      <c r="B967" s="8"/>
      <c r="C967" s="8"/>
      <c r="D967" s="8"/>
      <c r="E967" s="8"/>
      <c r="F967" s="8" t="str">
        <v>C</v>
      </c>
      <c r="G967" s="8"/>
      <c r="H967" s="8"/>
      <c r="I967" s="8"/>
      <c r="J967" s="8"/>
      <c r="K967" s="8"/>
      <c r="L967" s="8"/>
      <c r="M967" s="8"/>
      <c r="N967" s="8"/>
      <c r="O967" s="8"/>
    </row>
    <row r="989" spans="1:15" ht="20.100000000000001" customHeight="1">
      <c r="A989" s="8" t="s">
        <v>1245</v>
      </c>
      <c r="B989" s="8" t="s">
        <v>537</v>
      </c>
      <c r="C989" s="8" t="s">
        <v>538</v>
      </c>
      <c r="D989" s="8" t="s">
        <v>539</v>
      </c>
      <c r="E989" s="2" t="s">
        <v>1246</v>
      </c>
      <c r="F989" s="3" cm="1">
        <f t="array" ref="F989:F1008">_xlfn._xlws.SORT(SharedData!$E$6:$E$25,1,-1)</f>
        <v>200</v>
      </c>
      <c r="G989" s="8"/>
      <c r="H989" s="8"/>
      <c r="I989" s="8"/>
      <c r="J989" s="8"/>
      <c r="K989" s="8"/>
      <c r="L989" s="8"/>
      <c r="M989" s="6" t="s">
        <v>129</v>
      </c>
      <c r="N989" s="8"/>
      <c r="O989" s="9" t="s">
        <v>541</v>
      </c>
    </row>
    <row r="990" spans="1:15">
      <c r="A990" s="8"/>
      <c r="B990" s="8"/>
      <c r="C990" s="8"/>
      <c r="D990" s="8"/>
      <c r="E990" s="8"/>
      <c r="F990" s="8">
        <v>190</v>
      </c>
      <c r="G990" s="8"/>
      <c r="H990" s="8"/>
      <c r="I990" s="8"/>
      <c r="J990" s="8"/>
      <c r="K990" s="8"/>
      <c r="L990" s="8"/>
      <c r="M990" s="8"/>
      <c r="N990" s="8"/>
      <c r="O990" s="8"/>
    </row>
    <row r="991" spans="1:15">
      <c r="A991" s="8"/>
      <c r="B991" s="8"/>
      <c r="C991" s="8"/>
      <c r="D991" s="8"/>
      <c r="E991" s="8"/>
      <c r="F991" s="8">
        <v>180</v>
      </c>
      <c r="G991" s="8"/>
      <c r="H991" s="8"/>
      <c r="I991" s="8"/>
      <c r="J991" s="8"/>
      <c r="K991" s="8"/>
      <c r="L991" s="8"/>
      <c r="M991" s="8"/>
      <c r="N991" s="8"/>
      <c r="O991" s="8"/>
    </row>
    <row r="992" spans="1:15">
      <c r="A992" s="8"/>
      <c r="B992" s="8"/>
      <c r="C992" s="8"/>
      <c r="D992" s="8"/>
      <c r="E992" s="8"/>
      <c r="F992" s="8">
        <v>170</v>
      </c>
      <c r="G992" s="8"/>
      <c r="H992" s="8"/>
      <c r="I992" s="8"/>
      <c r="J992" s="8"/>
      <c r="K992" s="8"/>
      <c r="L992" s="8"/>
      <c r="M992" s="8"/>
      <c r="N992" s="8"/>
      <c r="O992" s="8"/>
    </row>
    <row r="993" spans="6:6">
      <c r="F993" s="8">
        <v>160</v>
      </c>
    </row>
    <row r="994" spans="6:6">
      <c r="F994" s="8">
        <v>150</v>
      </c>
    </row>
    <row r="995" spans="6:6">
      <c r="F995" s="8">
        <v>140</v>
      </c>
    </row>
    <row r="996" spans="6:6">
      <c r="F996" s="8">
        <v>130</v>
      </c>
    </row>
    <row r="997" spans="6:6">
      <c r="F997" s="8">
        <v>120</v>
      </c>
    </row>
    <row r="998" spans="6:6">
      <c r="F998" s="8">
        <v>110</v>
      </c>
    </row>
    <row r="999" spans="6:6">
      <c r="F999" s="8">
        <v>100</v>
      </c>
    </row>
    <row r="1000" spans="6:6">
      <c r="F1000" s="8">
        <v>90</v>
      </c>
    </row>
    <row r="1001" spans="6:6">
      <c r="F1001" s="8">
        <v>80</v>
      </c>
    </row>
    <row r="1002" spans="6:6">
      <c r="F1002" s="8">
        <v>70</v>
      </c>
    </row>
    <row r="1003" spans="6:6">
      <c r="F1003" s="8">
        <v>60</v>
      </c>
    </row>
    <row r="1004" spans="6:6">
      <c r="F1004" s="8">
        <v>50</v>
      </c>
    </row>
    <row r="1005" spans="6:6">
      <c r="F1005" s="8">
        <v>40</v>
      </c>
    </row>
    <row r="1006" spans="6:6">
      <c r="F1006" s="8">
        <v>30</v>
      </c>
    </row>
    <row r="1007" spans="6:6">
      <c r="F1007" s="8">
        <v>20</v>
      </c>
    </row>
    <row r="1008" spans="6:6">
      <c r="F1008" s="8">
        <v>10</v>
      </c>
    </row>
    <row r="1013" spans="1:15" ht="20.100000000000001" customHeight="1">
      <c r="A1013" s="8" t="s">
        <v>1247</v>
      </c>
      <c r="B1013" s="8" t="s">
        <v>537</v>
      </c>
      <c r="C1013" s="8" t="s">
        <v>538</v>
      </c>
      <c r="D1013" s="8" t="s">
        <v>539</v>
      </c>
      <c r="E1013" s="2" t="s">
        <v>1248</v>
      </c>
      <c r="F1013" s="3" cm="1">
        <f t="array" ref="F1013:I1015">_xlfn.SEQUENCE(3,4)</f>
        <v>1</v>
      </c>
      <c r="G1013" s="8">
        <v>2</v>
      </c>
      <c r="H1013" s="8">
        <v>3</v>
      </c>
      <c r="I1013" s="8">
        <v>4</v>
      </c>
      <c r="J1013" s="8"/>
      <c r="K1013" s="8"/>
      <c r="L1013" s="8"/>
      <c r="M1013" s="6" t="s">
        <v>129</v>
      </c>
      <c r="N1013" s="8"/>
      <c r="O1013" s="9" t="s">
        <v>541</v>
      </c>
    </row>
    <row r="1014" spans="1:15">
      <c r="A1014" s="8"/>
      <c r="B1014" s="8"/>
      <c r="C1014" s="8"/>
      <c r="D1014" s="8"/>
      <c r="E1014" s="8"/>
      <c r="F1014" s="8">
        <v>5</v>
      </c>
      <c r="G1014" s="8">
        <v>6</v>
      </c>
      <c r="H1014" s="8">
        <v>7</v>
      </c>
      <c r="I1014" s="8">
        <v>8</v>
      </c>
      <c r="J1014" s="8"/>
      <c r="K1014" s="8"/>
      <c r="L1014" s="8"/>
      <c r="M1014" s="8"/>
      <c r="N1014" s="8"/>
      <c r="O1014" s="8"/>
    </row>
    <row r="1015" spans="1:15">
      <c r="A1015" s="8"/>
      <c r="B1015" s="8"/>
      <c r="C1015" s="8"/>
      <c r="D1015" s="8"/>
      <c r="E1015" s="8"/>
      <c r="F1015" s="8">
        <v>9</v>
      </c>
      <c r="G1015" s="8">
        <v>10</v>
      </c>
      <c r="H1015" s="8">
        <v>11</v>
      </c>
      <c r="I1015" s="8">
        <v>12</v>
      </c>
      <c r="J1015" s="8"/>
      <c r="K1015" s="8"/>
      <c r="L1015" s="8"/>
      <c r="M1015" s="8"/>
      <c r="N1015" s="8"/>
      <c r="O1015" s="8"/>
    </row>
    <row r="1037" spans="1:15" ht="20.100000000000001" customHeight="1">
      <c r="A1037" s="8" t="s">
        <v>1249</v>
      </c>
      <c r="B1037" s="8" t="s">
        <v>537</v>
      </c>
      <c r="C1037" s="8" t="s">
        <v>538</v>
      </c>
      <c r="D1037" s="8" t="s">
        <v>539</v>
      </c>
      <c r="E1037" s="2" t="s">
        <v>1250</v>
      </c>
      <c r="F1037" s="3" cm="1">
        <f t="array" ref="F1037:F1046">_xlfn.LET(_xlpm.data,SharedData!$E$6:$E$25,_xlfn._xlws.FILTER(_xlpm.data,_xlpm.data&gt;AVERAGE(_xlpm.data)))</f>
        <v>110</v>
      </c>
      <c r="G1037" s="8"/>
      <c r="H1037" s="8"/>
      <c r="I1037" s="8"/>
      <c r="J1037" s="8"/>
      <c r="K1037" s="8"/>
      <c r="L1037" s="8"/>
      <c r="M1037" s="6" t="s">
        <v>129</v>
      </c>
      <c r="N1037" s="8"/>
      <c r="O1037" s="9" t="s">
        <v>541</v>
      </c>
    </row>
    <row r="1038" spans="1:15">
      <c r="A1038" s="8"/>
      <c r="B1038" s="8"/>
      <c r="C1038" s="8"/>
      <c r="D1038" s="8"/>
      <c r="E1038" s="8"/>
      <c r="F1038" s="8">
        <v>120</v>
      </c>
      <c r="G1038" s="8"/>
      <c r="H1038" s="8"/>
      <c r="I1038" s="8"/>
      <c r="J1038" s="8"/>
      <c r="K1038" s="8"/>
      <c r="L1038" s="8"/>
      <c r="M1038" s="8"/>
      <c r="N1038" s="8"/>
      <c r="O1038" s="8"/>
    </row>
    <row r="1039" spans="1:15">
      <c r="A1039" s="8"/>
      <c r="B1039" s="8"/>
      <c r="C1039" s="8"/>
      <c r="D1039" s="8"/>
      <c r="E1039" s="8"/>
      <c r="F1039" s="8">
        <v>130</v>
      </c>
      <c r="G1039" s="8"/>
      <c r="H1039" s="8"/>
      <c r="I1039" s="8"/>
      <c r="J1039" s="8"/>
      <c r="K1039" s="8"/>
      <c r="L1039" s="8"/>
      <c r="M1039" s="8"/>
      <c r="N1039" s="8"/>
      <c r="O1039" s="8"/>
    </row>
    <row r="1040" spans="1:15">
      <c r="A1040" s="8"/>
      <c r="B1040" s="8"/>
      <c r="C1040" s="8"/>
      <c r="D1040" s="8"/>
      <c r="E1040" s="8"/>
      <c r="F1040" s="8">
        <v>140</v>
      </c>
      <c r="G1040" s="8"/>
      <c r="H1040" s="8"/>
      <c r="I1040" s="8"/>
      <c r="J1040" s="8"/>
      <c r="K1040" s="8"/>
      <c r="L1040" s="8"/>
      <c r="M1040" s="8"/>
      <c r="N1040" s="8"/>
      <c r="O1040" s="8"/>
    </row>
    <row r="1041" spans="6:6">
      <c r="F1041" s="8">
        <v>150</v>
      </c>
    </row>
    <row r="1042" spans="6:6">
      <c r="F1042" s="8">
        <v>160</v>
      </c>
    </row>
    <row r="1043" spans="6:6">
      <c r="F1043" s="8">
        <v>170</v>
      </c>
    </row>
    <row r="1044" spans="6:6">
      <c r="F1044" s="8">
        <v>180</v>
      </c>
    </row>
    <row r="1045" spans="6:6">
      <c r="F1045" s="8">
        <v>190</v>
      </c>
    </row>
    <row r="1046" spans="6:6">
      <c r="F1046" s="8">
        <v>200</v>
      </c>
    </row>
    <row r="1061" spans="1:15" ht="20.100000000000001" customHeight="1">
      <c r="A1061" s="8" t="s">
        <v>1251</v>
      </c>
      <c r="B1061" s="8" t="s">
        <v>537</v>
      </c>
      <c r="C1061" s="8" t="s">
        <v>1163</v>
      </c>
      <c r="D1061" s="8" t="s">
        <v>1252</v>
      </c>
      <c r="E1061" s="2" t="s">
        <v>1253</v>
      </c>
      <c r="F1061" s="3">
        <f>_xlfn.LET(_xlpm.x,2,_xlfn.LET(_xlpm.x,3,_xlpm.x)+_xlpm.x)</f>
        <v>5</v>
      </c>
      <c r="G1061" s="8"/>
      <c r="H1061" s="8"/>
      <c r="I1061" s="8"/>
      <c r="J1061" s="8"/>
      <c r="K1061" s="8"/>
      <c r="L1061" s="8"/>
      <c r="M1061" s="6" t="s">
        <v>129</v>
      </c>
      <c r="N1061" s="8"/>
      <c r="O1061" s="9" t="s">
        <v>541</v>
      </c>
    </row>
    <row r="1085" spans="1:15" ht="20.100000000000001" customHeight="1">
      <c r="A1085" s="8" t="s">
        <v>1254</v>
      </c>
      <c r="B1085" s="8" t="s">
        <v>537</v>
      </c>
      <c r="C1085" s="8" t="s">
        <v>1163</v>
      </c>
      <c r="D1085" s="8" t="s">
        <v>1255</v>
      </c>
      <c r="E1085" s="2" t="s">
        <v>1256</v>
      </c>
      <c r="F1085" s="3">
        <f>_xlfn.LET(_xlpm.InputAmounts,42,_xlpm.InputAmounts)</f>
        <v>42</v>
      </c>
      <c r="G1085" s="8"/>
      <c r="H1085" s="8"/>
      <c r="I1085" s="8"/>
      <c r="J1085" s="8"/>
      <c r="K1085" s="8"/>
      <c r="L1085" s="8"/>
      <c r="M1085" s="6" t="s">
        <v>129</v>
      </c>
      <c r="N1085" s="8"/>
      <c r="O1085" s="9" t="s">
        <v>541</v>
      </c>
    </row>
    <row r="1109" spans="1:15" ht="20.100000000000001" customHeight="1">
      <c r="A1109" s="8" t="s">
        <v>1257</v>
      </c>
      <c r="B1109" s="8" t="s">
        <v>537</v>
      </c>
      <c r="C1109" s="8" t="s">
        <v>1163</v>
      </c>
      <c r="D1109" s="8" t="s">
        <v>1258</v>
      </c>
      <c r="E1109" s="2" t="s">
        <v>1259</v>
      </c>
      <c r="F1109" s="3" t="e">
        <f>_xlfn.LET(_xlpm.x,1/0,_xlpm.x)</f>
        <v>#DIV/0!</v>
      </c>
      <c r="G1109" s="8"/>
      <c r="H1109" s="8"/>
      <c r="I1109" s="8"/>
      <c r="J1109" s="8"/>
      <c r="K1109" s="8"/>
      <c r="L1109" s="8"/>
      <c r="M1109" s="6" t="s">
        <v>129</v>
      </c>
      <c r="N1109" s="8"/>
      <c r="O1109" s="9" t="s">
        <v>541</v>
      </c>
    </row>
    <row r="1133" spans="1:15" ht="20.100000000000001" customHeight="1">
      <c r="A1133" s="8" t="s">
        <v>1260</v>
      </c>
      <c r="B1133" s="8" t="s">
        <v>537</v>
      </c>
      <c r="C1133" s="8" t="s">
        <v>1163</v>
      </c>
      <c r="D1133" s="8" t="s">
        <v>1261</v>
      </c>
      <c r="E1133" s="2" t="s">
        <v>1262</v>
      </c>
      <c r="F1133" s="3">
        <f>_xlfn.LET(_xlpm.x,0.1+0.2,_xlpm.x-0.3)</f>
        <v>5.5511151231257827E-17</v>
      </c>
      <c r="G1133" s="8"/>
      <c r="H1133" s="8"/>
      <c r="I1133" s="8"/>
      <c r="J1133" s="8"/>
      <c r="K1133" s="8"/>
      <c r="L1133" s="8"/>
      <c r="M1133" s="6" t="s">
        <v>129</v>
      </c>
      <c r="N1133" s="8"/>
      <c r="O1133" s="9" t="s">
        <v>541</v>
      </c>
    </row>
    <row r="1157" spans="1:16" ht="20.100000000000001" customHeight="1">
      <c r="A1157" s="8" t="s">
        <v>1263</v>
      </c>
      <c r="B1157" s="8" t="s">
        <v>537</v>
      </c>
      <c r="C1157" s="8" t="s">
        <v>1163</v>
      </c>
      <c r="D1157" s="8" t="s">
        <v>1264</v>
      </c>
      <c r="E1157" s="2" t="s">
        <v>1265</v>
      </c>
      <c r="F1157" s="3">
        <f>SUM(_xlfn.LET(_xlpm.x,{0.1,0.2}+{0.2,0.1},_xlpm.x))-0.6</f>
        <v>0</v>
      </c>
      <c r="G1157" s="8"/>
      <c r="H1157" s="8"/>
      <c r="I1157" s="8"/>
      <c r="J1157" s="8"/>
      <c r="K1157" s="8"/>
      <c r="L1157" s="8"/>
      <c r="M1157" s="6" t="s">
        <v>129</v>
      </c>
      <c r="N1157" s="3" t="str">
        <f>IF(ISERROR(F1157),"ERROR "&amp;IFERROR(ERROR.TYPE(F1157),""),"OK")</f>
        <v>OK</v>
      </c>
      <c r="O1157" s="9" t="s">
        <v>541</v>
      </c>
      <c r="P1157" s="3">
        <f>IFERROR(N(F1157),0)+IFERROR(N(ArraysCSE!$F$869),0)+ROW()/100000</f>
        <v>1.157E-2</v>
      </c>
    </row>
    <row r="1181" spans="1:15" ht="20.100000000000001" customHeight="1">
      <c r="A1181" s="8" t="s">
        <v>1266</v>
      </c>
      <c r="B1181" s="8" t="s">
        <v>537</v>
      </c>
      <c r="C1181" s="8" t="s">
        <v>538</v>
      </c>
      <c r="D1181" s="8" t="s">
        <v>539</v>
      </c>
      <c r="E1181" s="2" t="s">
        <v>1267</v>
      </c>
      <c r="F1181" s="3" cm="1">
        <f t="array" ref="F1181:F1185">_xlfn.MAP(SharedData!$E$6:$E$10,SharedData!$F$6:$F$10,_xlfn.LAMBDA(_xlpm.a,_xlpm.b,_xlpm.a*_xlpm.b))</f>
        <v>10</v>
      </c>
      <c r="G1181" s="8"/>
      <c r="H1181" s="8"/>
      <c r="I1181" s="8"/>
      <c r="J1181" s="8"/>
      <c r="K1181" s="8"/>
      <c r="L1181" s="8"/>
      <c r="M1181" s="6" t="s">
        <v>129</v>
      </c>
      <c r="N1181" s="8"/>
      <c r="O1181" s="9" t="s">
        <v>541</v>
      </c>
    </row>
    <row r="1182" spans="1:15">
      <c r="A1182" s="8"/>
      <c r="B1182" s="8"/>
      <c r="C1182" s="8"/>
      <c r="D1182" s="8"/>
      <c r="E1182" s="8"/>
      <c r="F1182" s="8">
        <v>40</v>
      </c>
      <c r="G1182" s="8"/>
      <c r="H1182" s="8"/>
      <c r="I1182" s="8"/>
      <c r="J1182" s="8"/>
      <c r="K1182" s="8"/>
      <c r="L1182" s="8"/>
      <c r="M1182" s="8"/>
      <c r="N1182" s="8"/>
      <c r="O1182" s="8"/>
    </row>
    <row r="1183" spans="1:15">
      <c r="A1183" s="8"/>
      <c r="B1183" s="8"/>
      <c r="C1183" s="8"/>
      <c r="D1183" s="8"/>
      <c r="E1183" s="8"/>
      <c r="F1183" s="8">
        <v>90</v>
      </c>
      <c r="G1183" s="8"/>
      <c r="H1183" s="8"/>
      <c r="I1183" s="8"/>
      <c r="J1183" s="8"/>
      <c r="K1183" s="8"/>
      <c r="L1183" s="8"/>
      <c r="M1183" s="8"/>
      <c r="N1183" s="8"/>
      <c r="O1183" s="8"/>
    </row>
    <row r="1184" spans="1:15">
      <c r="A1184" s="8"/>
      <c r="B1184" s="8"/>
      <c r="C1184" s="8"/>
      <c r="D1184" s="8"/>
      <c r="E1184" s="8"/>
      <c r="F1184" s="8">
        <v>160</v>
      </c>
      <c r="G1184" s="8"/>
      <c r="H1184" s="8"/>
      <c r="I1184" s="8"/>
      <c r="J1184" s="8"/>
      <c r="K1184" s="8"/>
      <c r="L1184" s="8"/>
      <c r="M1184" s="8"/>
      <c r="N1184" s="8"/>
      <c r="O1184" s="8"/>
    </row>
    <row r="1185" spans="6:6">
      <c r="F1185" s="8">
        <v>250</v>
      </c>
    </row>
    <row r="1205" spans="1:15" ht="20.100000000000001" customHeight="1">
      <c r="A1205" s="8" t="s">
        <v>1268</v>
      </c>
      <c r="B1205" s="8" t="s">
        <v>537</v>
      </c>
      <c r="C1205" s="8" t="s">
        <v>1175</v>
      </c>
      <c r="D1205" s="8" t="s">
        <v>1269</v>
      </c>
      <c r="E1205" s="2" t="s">
        <v>1270</v>
      </c>
      <c r="F1205" s="3">
        <f>SUM(_xlfn.MAP({0.1},_xlfn.LAMBDA(_xlpm.x,_xlpm.x+0.2-0.3)))</f>
        <v>0</v>
      </c>
      <c r="G1205" s="8"/>
      <c r="H1205" s="8"/>
      <c r="I1205" s="8"/>
      <c r="J1205" s="8"/>
      <c r="K1205" s="8"/>
      <c r="L1205" s="8"/>
      <c r="M1205" s="6" t="s">
        <v>129</v>
      </c>
      <c r="N1205" s="8"/>
      <c r="O1205" s="9" t="s">
        <v>541</v>
      </c>
    </row>
    <row r="1229" spans="1:15" ht="20.100000000000001" customHeight="1">
      <c r="A1229" s="8" t="s">
        <v>1271</v>
      </c>
      <c r="B1229" s="8" t="s">
        <v>537</v>
      </c>
      <c r="C1229" s="8" t="s">
        <v>538</v>
      </c>
      <c r="D1229" s="8" t="s">
        <v>539</v>
      </c>
      <c r="E1229" s="2" t="s">
        <v>1272</v>
      </c>
      <c r="F1229" s="3" cm="1">
        <f t="array" ref="F1229:F1238">_xlfn.BYROW(SharedData!$E$6:$F$15,_xlfn.LAMBDA(_xlpm.row,SUM(_xlpm.row)))</f>
        <v>11</v>
      </c>
      <c r="G1229" s="8"/>
      <c r="H1229" s="8"/>
      <c r="I1229" s="8"/>
      <c r="J1229" s="8"/>
      <c r="K1229" s="8"/>
      <c r="L1229" s="8"/>
      <c r="M1229" s="6" t="s">
        <v>129</v>
      </c>
      <c r="N1229" s="8"/>
      <c r="O1229" s="9" t="s">
        <v>541</v>
      </c>
    </row>
    <row r="1230" spans="1:15">
      <c r="A1230" s="8"/>
      <c r="B1230" s="8"/>
      <c r="C1230" s="8"/>
      <c r="D1230" s="8"/>
      <c r="E1230" s="8"/>
      <c r="F1230" s="8">
        <v>22</v>
      </c>
      <c r="G1230" s="8"/>
      <c r="H1230" s="8"/>
      <c r="I1230" s="8"/>
      <c r="J1230" s="8"/>
      <c r="K1230" s="8"/>
      <c r="L1230" s="8"/>
      <c r="M1230" s="8"/>
      <c r="N1230" s="8"/>
      <c r="O1230" s="8"/>
    </row>
    <row r="1231" spans="1:15">
      <c r="A1231" s="8"/>
      <c r="B1231" s="8"/>
      <c r="C1231" s="8"/>
      <c r="D1231" s="8"/>
      <c r="E1231" s="8"/>
      <c r="F1231" s="8">
        <v>33</v>
      </c>
      <c r="G1231" s="8"/>
      <c r="H1231" s="8"/>
      <c r="I1231" s="8"/>
      <c r="J1231" s="8"/>
      <c r="K1231" s="8"/>
      <c r="L1231" s="8"/>
      <c r="M1231" s="8"/>
      <c r="N1231" s="8"/>
      <c r="O1231" s="8"/>
    </row>
    <row r="1232" spans="1:15">
      <c r="A1232" s="8"/>
      <c r="B1232" s="8"/>
      <c r="C1232" s="8"/>
      <c r="D1232" s="8"/>
      <c r="E1232" s="8"/>
      <c r="F1232" s="8">
        <v>44</v>
      </c>
      <c r="G1232" s="8"/>
      <c r="H1232" s="8"/>
      <c r="I1232" s="8"/>
      <c r="J1232" s="8"/>
      <c r="K1232" s="8"/>
      <c r="L1232" s="8"/>
      <c r="M1232" s="8"/>
      <c r="N1232" s="8"/>
      <c r="O1232" s="8"/>
    </row>
    <row r="1233" spans="6:6">
      <c r="F1233" s="8">
        <v>55</v>
      </c>
    </row>
    <row r="1234" spans="6:6">
      <c r="F1234" s="8">
        <v>66</v>
      </c>
    </row>
    <row r="1235" spans="6:6">
      <c r="F1235" s="8">
        <v>77</v>
      </c>
    </row>
    <row r="1236" spans="6:6">
      <c r="F1236" s="8">
        <v>81</v>
      </c>
    </row>
    <row r="1237" spans="6:6">
      <c r="F1237" s="8">
        <v>92</v>
      </c>
    </row>
    <row r="1238" spans="6:6">
      <c r="F1238" s="8">
        <v>103</v>
      </c>
    </row>
    <row r="1253" spans="1:15" ht="20.100000000000001" customHeight="1">
      <c r="A1253" s="8" t="s">
        <v>1273</v>
      </c>
      <c r="B1253" s="8" t="s">
        <v>537</v>
      </c>
      <c r="C1253" s="8" t="s">
        <v>538</v>
      </c>
      <c r="D1253" s="8" t="s">
        <v>539</v>
      </c>
      <c r="E1253" s="2" t="s">
        <v>1274</v>
      </c>
      <c r="F1253" s="3" cm="1">
        <f t="array" ref="F1253:F1262">_xlfn.SCAN(0,SharedData!$A$6:$A$15,_xlfn.LAMBDA(_xlpm.a,_xlpm.v,_xlpm.a+_xlpm.v))</f>
        <v>0.1</v>
      </c>
      <c r="G1253" s="8"/>
      <c r="H1253" s="8"/>
      <c r="I1253" s="8"/>
      <c r="J1253" s="8"/>
      <c r="K1253" s="8"/>
      <c r="L1253" s="8"/>
      <c r="M1253" s="6" t="s">
        <v>129</v>
      </c>
      <c r="N1253" s="8"/>
      <c r="O1253" s="9" t="s">
        <v>541</v>
      </c>
    </row>
    <row r="1254" spans="1:15">
      <c r="A1254" s="8"/>
      <c r="B1254" s="8"/>
      <c r="C1254" s="8"/>
      <c r="D1254" s="8"/>
      <c r="E1254" s="8"/>
      <c r="F1254" s="8">
        <v>0.30000000000000004</v>
      </c>
      <c r="G1254" s="8"/>
      <c r="H1254" s="8"/>
      <c r="I1254" s="8"/>
      <c r="J1254" s="8"/>
      <c r="K1254" s="8"/>
      <c r="L1254" s="8"/>
      <c r="M1254" s="8"/>
      <c r="N1254" s="8"/>
      <c r="O1254" s="8"/>
    </row>
    <row r="1255" spans="1:15">
      <c r="A1255" s="8"/>
      <c r="B1255" s="8"/>
      <c r="C1255" s="8"/>
      <c r="D1255" s="8"/>
      <c r="E1255" s="8"/>
      <c r="F1255" s="8">
        <v>0</v>
      </c>
      <c r="G1255" s="8"/>
      <c r="H1255" s="8"/>
      <c r="I1255" s="8"/>
      <c r="J1255" s="8"/>
      <c r="K1255" s="8"/>
      <c r="L1255" s="8"/>
      <c r="M1255" s="8"/>
      <c r="N1255" s="8"/>
      <c r="O1255" s="8"/>
    </row>
    <row r="1256" spans="1:15">
      <c r="A1256" s="8"/>
      <c r="B1256" s="8"/>
      <c r="C1256" s="8"/>
      <c r="D1256" s="8"/>
      <c r="E1256" s="8"/>
      <c r="F1256" s="8">
        <v>1</v>
      </c>
      <c r="G1256" s="8"/>
      <c r="H1256" s="8"/>
      <c r="I1256" s="8"/>
      <c r="J1256" s="8"/>
      <c r="K1256" s="8"/>
      <c r="L1256" s="8"/>
      <c r="M1256" s="8"/>
      <c r="N1256" s="8"/>
      <c r="O1256" s="8"/>
    </row>
    <row r="1257" spans="1:15">
      <c r="A1257" s="8"/>
      <c r="B1257" s="8"/>
      <c r="C1257" s="8"/>
      <c r="D1257" s="8"/>
      <c r="E1257" s="8"/>
      <c r="F1257" s="8">
        <v>3</v>
      </c>
      <c r="G1257" s="8"/>
      <c r="H1257" s="8"/>
      <c r="I1257" s="8"/>
      <c r="J1257" s="8"/>
      <c r="K1257" s="8"/>
      <c r="L1257" s="8"/>
      <c r="M1257" s="8"/>
      <c r="N1257" s="8"/>
      <c r="O1257" s="8"/>
    </row>
    <row r="1258" spans="1:15">
      <c r="A1258" s="8"/>
      <c r="B1258" s="8"/>
      <c r="C1258" s="8"/>
      <c r="D1258" s="8"/>
      <c r="E1258" s="8"/>
      <c r="F1258" s="8">
        <v>6</v>
      </c>
      <c r="G1258" s="8"/>
      <c r="H1258" s="8"/>
      <c r="I1258" s="8"/>
      <c r="J1258" s="8"/>
      <c r="K1258" s="8"/>
      <c r="L1258" s="8"/>
      <c r="M1258" s="8"/>
      <c r="N1258" s="8"/>
      <c r="O1258" s="8"/>
    </row>
    <row r="1259" spans="1:15">
      <c r="A1259" s="8"/>
      <c r="B1259" s="8"/>
      <c r="C1259" s="8"/>
      <c r="D1259" s="8"/>
      <c r="E1259" s="8"/>
      <c r="F1259" s="8">
        <v>10</v>
      </c>
      <c r="G1259" s="8"/>
      <c r="H1259" s="8"/>
      <c r="I1259" s="8"/>
      <c r="J1259" s="8"/>
      <c r="K1259" s="8"/>
      <c r="L1259" s="8"/>
      <c r="M1259" s="8"/>
      <c r="N1259" s="8"/>
      <c r="O1259" s="8"/>
    </row>
    <row r="1260" spans="1:15">
      <c r="A1260" s="8"/>
      <c r="B1260" s="8"/>
      <c r="C1260" s="8"/>
      <c r="D1260" s="8"/>
      <c r="E1260" s="8"/>
      <c r="F1260" s="8">
        <v>15</v>
      </c>
      <c r="G1260" s="8"/>
      <c r="H1260" s="8"/>
      <c r="I1260" s="8"/>
      <c r="J1260" s="8"/>
      <c r="K1260" s="8"/>
      <c r="L1260" s="8"/>
      <c r="M1260" s="8"/>
      <c r="N1260" s="8"/>
      <c r="O1260" s="8"/>
    </row>
    <row r="1261" spans="1:15">
      <c r="A1261" s="8"/>
      <c r="B1261" s="8"/>
      <c r="C1261" s="8"/>
      <c r="D1261" s="8"/>
      <c r="E1261" s="8"/>
      <c r="F1261" s="8">
        <v>25</v>
      </c>
      <c r="G1261" s="8"/>
      <c r="H1261" s="8"/>
      <c r="I1261" s="8"/>
      <c r="J1261" s="8"/>
      <c r="K1261" s="8"/>
      <c r="L1261" s="8"/>
      <c r="M1261" s="8"/>
      <c r="N1261" s="8"/>
      <c r="O1261" s="8"/>
    </row>
    <row r="1262" spans="1:15">
      <c r="A1262" s="8"/>
      <c r="B1262" s="8"/>
      <c r="C1262" s="8"/>
      <c r="D1262" s="8"/>
      <c r="E1262" s="8"/>
      <c r="F1262" s="8">
        <v>15</v>
      </c>
      <c r="G1262" s="8"/>
      <c r="H1262" s="8"/>
      <c r="I1262" s="8"/>
      <c r="J1262" s="8"/>
      <c r="K1262" s="8"/>
      <c r="L1262" s="8"/>
      <c r="M1262" s="8"/>
      <c r="N1262" s="8"/>
      <c r="O1262" s="8"/>
    </row>
    <row r="1277" spans="1:15" ht="20.100000000000001" customHeight="1">
      <c r="A1277" s="8" t="s">
        <v>1275</v>
      </c>
      <c r="B1277" s="8" t="s">
        <v>537</v>
      </c>
      <c r="C1277" s="8" t="s">
        <v>538</v>
      </c>
      <c r="D1277" s="8" t="s">
        <v>539</v>
      </c>
      <c r="E1277" s="2" t="s">
        <v>1276</v>
      </c>
      <c r="F1277" s="3" cm="1">
        <f t="array" ref="F1277:J1281">_xlfn.MAKEARRAY(5,5,_xlfn.LAMBDA(_xlpm.i,_xlpm.j,INDEX(SharedData!$E$6:$E$25,MOD(_xlpm.i*_xlpm.j-1,20)+1)))</f>
        <v>10</v>
      </c>
      <c r="G1277" s="8">
        <v>20</v>
      </c>
      <c r="H1277" s="8">
        <v>30</v>
      </c>
      <c r="I1277" s="8">
        <v>40</v>
      </c>
      <c r="J1277" s="8">
        <v>50</v>
      </c>
      <c r="K1277" s="8"/>
      <c r="L1277" s="8"/>
      <c r="M1277" s="6" t="s">
        <v>129</v>
      </c>
      <c r="N1277" s="8"/>
      <c r="O1277" s="9" t="s">
        <v>541</v>
      </c>
    </row>
    <row r="1278" spans="1:15">
      <c r="A1278" s="8"/>
      <c r="B1278" s="8"/>
      <c r="C1278" s="8"/>
      <c r="D1278" s="8"/>
      <c r="E1278" s="8"/>
      <c r="F1278" s="8">
        <v>20</v>
      </c>
      <c r="G1278" s="8">
        <v>40</v>
      </c>
      <c r="H1278" s="8">
        <v>60</v>
      </c>
      <c r="I1278" s="8">
        <v>80</v>
      </c>
      <c r="J1278" s="8">
        <v>100</v>
      </c>
      <c r="K1278" s="8"/>
      <c r="L1278" s="8"/>
      <c r="M1278" s="8"/>
      <c r="N1278" s="8"/>
      <c r="O1278" s="8"/>
    </row>
    <row r="1279" spans="1:15">
      <c r="A1279" s="8"/>
      <c r="B1279" s="8"/>
      <c r="C1279" s="8"/>
      <c r="D1279" s="8"/>
      <c r="E1279" s="8"/>
      <c r="F1279" s="8">
        <v>30</v>
      </c>
      <c r="G1279" s="8">
        <v>60</v>
      </c>
      <c r="H1279" s="8">
        <v>90</v>
      </c>
      <c r="I1279" s="8">
        <v>120</v>
      </c>
      <c r="J1279" s="8">
        <v>150</v>
      </c>
      <c r="K1279" s="8"/>
      <c r="L1279" s="8"/>
      <c r="M1279" s="8"/>
      <c r="N1279" s="8"/>
      <c r="O1279" s="8"/>
    </row>
    <row r="1280" spans="1:15">
      <c r="A1280" s="8"/>
      <c r="B1280" s="8"/>
      <c r="C1280" s="8"/>
      <c r="D1280" s="8"/>
      <c r="E1280" s="8"/>
      <c r="F1280" s="8">
        <v>40</v>
      </c>
      <c r="G1280" s="8">
        <v>80</v>
      </c>
      <c r="H1280" s="8">
        <v>120</v>
      </c>
      <c r="I1280" s="8">
        <v>160</v>
      </c>
      <c r="J1280" s="8">
        <v>200</v>
      </c>
      <c r="K1280" s="8"/>
      <c r="L1280" s="8"/>
      <c r="M1280" s="8"/>
      <c r="N1280" s="8"/>
      <c r="O1280" s="8"/>
    </row>
    <row r="1281" spans="6:10">
      <c r="F1281" s="8">
        <v>50</v>
      </c>
      <c r="G1281" s="8">
        <v>100</v>
      </c>
      <c r="H1281" s="8">
        <v>150</v>
      </c>
      <c r="I1281" s="8">
        <v>200</v>
      </c>
      <c r="J1281" s="8">
        <v>50</v>
      </c>
    </row>
    <row r="1301" spans="1:15" ht="20.100000000000001" customHeight="1">
      <c r="A1301" s="8" t="s">
        <v>1277</v>
      </c>
      <c r="B1301" s="8" t="s">
        <v>537</v>
      </c>
      <c r="C1301" s="8" t="s">
        <v>538</v>
      </c>
      <c r="D1301" s="8" t="s">
        <v>539</v>
      </c>
      <c r="E1301" s="2" t="s">
        <v>1278</v>
      </c>
      <c r="F1301" s="3" cm="1">
        <f t="array" ref="F1301:G1306">_xlfn.HSTACK(_xlfn.SEQUENCE(6),_xlfn.VSTACK(SharedData!$B$6:$B$8,SharedData!$B$12:$B$14))</f>
        <v>1</v>
      </c>
      <c r="G1301" s="8" t="str">
        <v>K001</v>
      </c>
      <c r="H1301" s="8"/>
      <c r="I1301" s="8"/>
      <c r="J1301" s="8"/>
      <c r="K1301" s="8"/>
      <c r="L1301" s="8"/>
      <c r="M1301" s="6" t="s">
        <v>129</v>
      </c>
      <c r="N1301" s="8"/>
      <c r="O1301" s="9" t="s">
        <v>541</v>
      </c>
    </row>
    <row r="1302" spans="1:15">
      <c r="A1302" s="8"/>
      <c r="B1302" s="8"/>
      <c r="C1302" s="8"/>
      <c r="D1302" s="8"/>
      <c r="E1302" s="8"/>
      <c r="F1302" s="8">
        <v>2</v>
      </c>
      <c r="G1302" s="8" t="str">
        <v>K002</v>
      </c>
      <c r="H1302" s="8"/>
      <c r="I1302" s="8"/>
      <c r="J1302" s="8"/>
      <c r="K1302" s="8"/>
      <c r="L1302" s="8"/>
      <c r="M1302" s="8"/>
      <c r="N1302" s="8"/>
      <c r="O1302" s="8"/>
    </row>
    <row r="1303" spans="1:15">
      <c r="A1303" s="8"/>
      <c r="B1303" s="8"/>
      <c r="C1303" s="8"/>
      <c r="D1303" s="8"/>
      <c r="E1303" s="8"/>
      <c r="F1303" s="8">
        <v>3</v>
      </c>
      <c r="G1303" s="8" t="str">
        <v>K003</v>
      </c>
      <c r="H1303" s="8"/>
      <c r="I1303" s="8"/>
      <c r="J1303" s="8"/>
      <c r="K1303" s="8"/>
      <c r="L1303" s="8"/>
      <c r="M1303" s="8"/>
      <c r="N1303" s="8"/>
      <c r="O1303" s="8"/>
    </row>
    <row r="1304" spans="1:15">
      <c r="A1304" s="8"/>
      <c r="B1304" s="8"/>
      <c r="C1304" s="8"/>
      <c r="D1304" s="8"/>
      <c r="E1304" s="8"/>
      <c r="F1304" s="8">
        <v>4</v>
      </c>
      <c r="G1304" s="8" t="str">
        <v>K007</v>
      </c>
      <c r="H1304" s="8"/>
      <c r="I1304" s="8"/>
      <c r="J1304" s="8"/>
      <c r="K1304" s="8"/>
      <c r="L1304" s="8"/>
      <c r="M1304" s="8"/>
      <c r="N1304" s="8"/>
      <c r="O1304" s="8"/>
    </row>
    <row r="1305" spans="1:15">
      <c r="A1305" s="8"/>
      <c r="B1305" s="8"/>
      <c r="C1305" s="8"/>
      <c r="D1305" s="8"/>
      <c r="E1305" s="8"/>
      <c r="F1305" s="8">
        <v>5</v>
      </c>
      <c r="G1305" s="8" t="str">
        <v>K008</v>
      </c>
      <c r="H1305" s="8"/>
      <c r="I1305" s="8"/>
      <c r="J1305" s="8"/>
      <c r="K1305" s="8"/>
      <c r="L1305" s="8"/>
      <c r="M1305" s="8"/>
      <c r="N1305" s="8"/>
      <c r="O1305" s="8"/>
    </row>
    <row r="1306" spans="1:15">
      <c r="A1306" s="8"/>
      <c r="B1306" s="8"/>
      <c r="C1306" s="8"/>
      <c r="D1306" s="8"/>
      <c r="E1306" s="8"/>
      <c r="F1306" s="8">
        <v>6</v>
      </c>
      <c r="G1306" s="8" t="str">
        <v>K009</v>
      </c>
      <c r="H1306" s="8"/>
      <c r="I1306" s="8"/>
      <c r="J1306" s="8"/>
      <c r="K1306" s="8"/>
      <c r="L1306" s="8"/>
      <c r="M1306" s="8"/>
      <c r="N1306" s="8"/>
      <c r="O1306" s="8"/>
    </row>
    <row r="1325" spans="1:15" ht="20.100000000000001" customHeight="1">
      <c r="A1325" s="8" t="s">
        <v>1279</v>
      </c>
      <c r="B1325" s="8" t="s">
        <v>537</v>
      </c>
      <c r="C1325" s="8" t="s">
        <v>538</v>
      </c>
      <c r="D1325" s="8" t="s">
        <v>539</v>
      </c>
      <c r="E1325" s="2" t="s">
        <v>1280</v>
      </c>
      <c r="F1325" s="3" cm="1">
        <f t="array" ref="F1325:I1329">_xlfn.TAKE(_xlfn.DROP(_xlfn._xlws.SORT(SharedData!$A$6:$F$25,5,-1),2),5,4)</f>
        <v>5.5</v>
      </c>
      <c r="G1325" s="8" t="str">
        <v>K018</v>
      </c>
      <c r="H1325" s="8" t="str">
        <v>C</v>
      </c>
      <c r="I1325" s="8">
        <v>44358</v>
      </c>
      <c r="J1325" s="8"/>
      <c r="K1325" s="8"/>
      <c r="L1325" s="8"/>
      <c r="M1325" s="6" t="s">
        <v>129</v>
      </c>
      <c r="N1325" s="8"/>
      <c r="O1325" s="9" t="s">
        <v>541</v>
      </c>
    </row>
    <row r="1326" spans="1:15">
      <c r="A1326" s="8"/>
      <c r="B1326" s="8"/>
      <c r="C1326" s="8"/>
      <c r="D1326" s="8"/>
      <c r="E1326" s="8"/>
      <c r="F1326" s="8">
        <v>4.5</v>
      </c>
      <c r="G1326" s="8" t="str">
        <v>K017</v>
      </c>
      <c r="H1326" s="8" t="str">
        <v>B</v>
      </c>
      <c r="I1326" s="8">
        <v>44327</v>
      </c>
      <c r="J1326" s="8"/>
      <c r="K1326" s="8"/>
      <c r="L1326" s="8"/>
      <c r="M1326" s="8"/>
      <c r="N1326" s="8"/>
      <c r="O1326" s="8"/>
    </row>
    <row r="1327" spans="1:15">
      <c r="A1327" s="8"/>
      <c r="B1327" s="8"/>
      <c r="C1327" s="8"/>
      <c r="D1327" s="8"/>
      <c r="E1327" s="8"/>
      <c r="F1327" s="8">
        <v>3.5</v>
      </c>
      <c r="G1327" s="8" t="str">
        <v>K016</v>
      </c>
      <c r="H1327" s="8" t="str">
        <v>A</v>
      </c>
      <c r="I1327" s="8">
        <v>44296</v>
      </c>
      <c r="J1327" s="8"/>
      <c r="K1327" s="8"/>
      <c r="L1327" s="8"/>
      <c r="M1327" s="8"/>
      <c r="N1327" s="8"/>
      <c r="O1327" s="8"/>
    </row>
    <row r="1328" spans="1:15">
      <c r="A1328" s="8"/>
      <c r="B1328" s="8"/>
      <c r="C1328" s="8"/>
      <c r="D1328" s="8"/>
      <c r="E1328" s="8"/>
      <c r="F1328" s="8">
        <v>2.5</v>
      </c>
      <c r="G1328" s="8" t="str">
        <v>K015</v>
      </c>
      <c r="H1328" s="8" t="str">
        <v>C</v>
      </c>
      <c r="I1328" s="8">
        <v>44265</v>
      </c>
      <c r="J1328" s="8"/>
      <c r="K1328" s="8"/>
      <c r="L1328" s="8"/>
      <c r="M1328" s="8"/>
      <c r="N1328" s="8"/>
      <c r="O1328" s="8"/>
    </row>
    <row r="1329" spans="6:9">
      <c r="F1329" s="8">
        <v>1.5</v>
      </c>
      <c r="G1329" s="8" t="str">
        <v>K014</v>
      </c>
      <c r="H1329" s="8" t="str">
        <v>B</v>
      </c>
      <c r="I1329" s="8">
        <v>44234</v>
      </c>
    </row>
    <row r="1349" spans="1:15" ht="20.100000000000001" customHeight="1">
      <c r="A1349" s="8" t="s">
        <v>1281</v>
      </c>
      <c r="B1349" s="8" t="s">
        <v>537</v>
      </c>
      <c r="C1349" s="8" t="s">
        <v>538</v>
      </c>
      <c r="D1349" s="8" t="s">
        <v>539</v>
      </c>
      <c r="E1349" s="2" t="s">
        <v>1282</v>
      </c>
      <c r="F1349" s="3" cm="1">
        <f t="array" ref="F1349:F1358">_xlfn.TOCOL(_xlfn.WRAPROWS(SharedData!$E$6:$E$15,5),1,FALSE)</f>
        <v>10</v>
      </c>
      <c r="G1349" s="8"/>
      <c r="H1349" s="8"/>
      <c r="I1349" s="8"/>
      <c r="J1349" s="8"/>
      <c r="K1349" s="8"/>
      <c r="L1349" s="8"/>
      <c r="M1349" s="6" t="s">
        <v>129</v>
      </c>
      <c r="N1349" s="3" t="str">
        <f>IF(ISERROR(F1349),"ERROR "&amp;IFERROR(ERROR.TYPE(F1349),""),"OK")</f>
        <v>OK</v>
      </c>
      <c r="O1349" s="9" t="s">
        <v>541</v>
      </c>
    </row>
    <row r="1350" spans="1:15">
      <c r="A1350" s="8"/>
      <c r="B1350" s="8"/>
      <c r="C1350" s="8"/>
      <c r="D1350" s="8"/>
      <c r="E1350" s="8"/>
      <c r="F1350" s="8">
        <v>20</v>
      </c>
      <c r="G1350" s="8"/>
      <c r="H1350" s="8"/>
      <c r="I1350" s="8"/>
      <c r="J1350" s="8"/>
      <c r="K1350" s="8"/>
      <c r="L1350" s="8"/>
      <c r="M1350" s="8"/>
      <c r="N1350" s="8"/>
      <c r="O1350" s="8"/>
    </row>
    <row r="1351" spans="1:15">
      <c r="A1351" s="8"/>
      <c r="B1351" s="8"/>
      <c r="C1351" s="8"/>
      <c r="D1351" s="8"/>
      <c r="E1351" s="8"/>
      <c r="F1351" s="8">
        <v>30</v>
      </c>
      <c r="G1351" s="8"/>
      <c r="H1351" s="8"/>
      <c r="I1351" s="8"/>
      <c r="J1351" s="8"/>
      <c r="K1351" s="8"/>
      <c r="L1351" s="8"/>
      <c r="M1351" s="8"/>
      <c r="N1351" s="8"/>
      <c r="O1351" s="8"/>
    </row>
    <row r="1352" spans="1:15">
      <c r="A1352" s="8"/>
      <c r="B1352" s="8"/>
      <c r="C1352" s="8"/>
      <c r="D1352" s="8"/>
      <c r="E1352" s="8"/>
      <c r="F1352" s="8">
        <v>40</v>
      </c>
      <c r="G1352" s="8"/>
      <c r="H1352" s="8"/>
      <c r="I1352" s="8"/>
      <c r="J1352" s="8"/>
      <c r="K1352" s="8"/>
      <c r="L1352" s="8"/>
      <c r="M1352" s="8"/>
      <c r="N1352" s="8"/>
      <c r="O1352" s="8"/>
    </row>
    <row r="1353" spans="1:15">
      <c r="A1353" s="8"/>
      <c r="B1353" s="8"/>
      <c r="C1353" s="8"/>
      <c r="D1353" s="8"/>
      <c r="E1353" s="8"/>
      <c r="F1353" s="8">
        <v>50</v>
      </c>
      <c r="G1353" s="8"/>
      <c r="H1353" s="8"/>
      <c r="I1353" s="8"/>
      <c r="J1353" s="8"/>
      <c r="K1353" s="8"/>
      <c r="L1353" s="8"/>
      <c r="M1353" s="8"/>
      <c r="N1353" s="8"/>
      <c r="O1353" s="8"/>
    </row>
    <row r="1354" spans="1:15">
      <c r="A1354" s="8"/>
      <c r="B1354" s="8"/>
      <c r="C1354" s="8"/>
      <c r="D1354" s="8"/>
      <c r="E1354" s="8"/>
      <c r="F1354" s="8">
        <v>60</v>
      </c>
      <c r="G1354" s="8"/>
      <c r="H1354" s="8"/>
      <c r="I1354" s="8"/>
      <c r="J1354" s="8"/>
      <c r="K1354" s="8"/>
      <c r="L1354" s="8"/>
      <c r="M1354" s="8"/>
      <c r="N1354" s="8"/>
      <c r="O1354" s="8"/>
    </row>
    <row r="1355" spans="1:15">
      <c r="A1355" s="8"/>
      <c r="B1355" s="8"/>
      <c r="C1355" s="8"/>
      <c r="D1355" s="8"/>
      <c r="E1355" s="8"/>
      <c r="F1355" s="8">
        <v>70</v>
      </c>
      <c r="G1355" s="8"/>
      <c r="H1355" s="8"/>
      <c r="I1355" s="8"/>
      <c r="J1355" s="8"/>
      <c r="K1355" s="8"/>
      <c r="L1355" s="8"/>
      <c r="M1355" s="8"/>
      <c r="N1355" s="8"/>
      <c r="O1355" s="8"/>
    </row>
    <row r="1356" spans="1:15">
      <c r="A1356" s="8"/>
      <c r="B1356" s="8"/>
      <c r="C1356" s="8"/>
      <c r="D1356" s="8"/>
      <c r="E1356" s="8"/>
      <c r="F1356" s="8">
        <v>80</v>
      </c>
      <c r="G1356" s="8"/>
      <c r="H1356" s="8"/>
      <c r="I1356" s="8"/>
      <c r="J1356" s="8"/>
      <c r="K1356" s="8"/>
      <c r="L1356" s="8"/>
      <c r="M1356" s="8"/>
      <c r="N1356" s="8"/>
      <c r="O1356" s="8"/>
    </row>
    <row r="1357" spans="1:15">
      <c r="A1357" s="8"/>
      <c r="B1357" s="8"/>
      <c r="C1357" s="8"/>
      <c r="D1357" s="8"/>
      <c r="E1357" s="8"/>
      <c r="F1357" s="8">
        <v>90</v>
      </c>
      <c r="G1357" s="8"/>
      <c r="H1357" s="8"/>
      <c r="I1357" s="8"/>
      <c r="J1357" s="8"/>
      <c r="K1357" s="8"/>
      <c r="L1357" s="8"/>
      <c r="M1357" s="8"/>
      <c r="N1357" s="8"/>
      <c r="O1357" s="8"/>
    </row>
    <row r="1358" spans="1:15">
      <c r="A1358" s="8"/>
      <c r="B1358" s="8"/>
      <c r="C1358" s="8"/>
      <c r="D1358" s="8"/>
      <c r="E1358" s="8"/>
      <c r="F1358" s="8">
        <v>100</v>
      </c>
      <c r="G1358" s="8"/>
      <c r="H1358" s="8"/>
      <c r="I1358" s="8"/>
      <c r="J1358" s="8"/>
      <c r="K1358" s="8"/>
      <c r="L1358" s="8"/>
      <c r="M1358" s="8"/>
      <c r="N1358" s="8"/>
      <c r="O1358" s="8"/>
    </row>
    <row r="1373" spans="1:15" ht="20.100000000000001" customHeight="1">
      <c r="A1373" s="8" t="s">
        <v>1283</v>
      </c>
      <c r="B1373" s="8" t="s">
        <v>537</v>
      </c>
      <c r="C1373" s="8" t="s">
        <v>538</v>
      </c>
      <c r="D1373" s="8" t="s">
        <v>539</v>
      </c>
      <c r="E1373" s="2" t="s">
        <v>1284</v>
      </c>
      <c r="F1373" s="3">
        <f>SUM(_xlfn.ANCHORARRAY(SharedData!$P$2))</f>
        <v>15</v>
      </c>
      <c r="G1373" s="8"/>
      <c r="H1373" s="8"/>
      <c r="I1373" s="8"/>
      <c r="J1373" s="8"/>
      <c r="K1373" s="8"/>
      <c r="L1373" s="8"/>
      <c r="M1373" s="6" t="s">
        <v>129</v>
      </c>
      <c r="N1373" s="8"/>
      <c r="O1373" s="9" t="s">
        <v>541</v>
      </c>
    </row>
    <row r="1397" spans="1:15" ht="20.100000000000001" customHeight="1">
      <c r="A1397" s="8" t="s">
        <v>1285</v>
      </c>
      <c r="B1397" s="8" t="s">
        <v>537</v>
      </c>
      <c r="C1397" s="8" t="s">
        <v>538</v>
      </c>
      <c r="D1397" s="8" t="s">
        <v>539</v>
      </c>
      <c r="E1397" s="2" t="s">
        <v>1286</v>
      </c>
      <c r="F1397" s="3">
        <f>ROWS(_xlfn.ANCHORARRAY(SharedData!$P$2))</f>
        <v>5</v>
      </c>
      <c r="G1397" s="8"/>
      <c r="H1397" s="8"/>
      <c r="I1397" s="8"/>
      <c r="J1397" s="8"/>
      <c r="K1397" s="8"/>
      <c r="L1397" s="8"/>
      <c r="M1397" s="6" t="s">
        <v>129</v>
      </c>
      <c r="N1397" s="8"/>
      <c r="O1397" s="9" t="s">
        <v>541</v>
      </c>
    </row>
    <row r="1421" spans="1:15" ht="20.100000000000001" customHeight="1">
      <c r="A1421" s="8" t="s">
        <v>1287</v>
      </c>
      <c r="B1421" s="8" t="s">
        <v>537</v>
      </c>
      <c r="C1421" s="8" t="s">
        <v>538</v>
      </c>
      <c r="D1421" s="8" t="s">
        <v>539</v>
      </c>
      <c r="E1421" s="2" t="s">
        <v>1288</v>
      </c>
      <c r="F1421" s="3">
        <f>INDEX(_xlfn.ANCHORARRAY(SharedData!$P$2),3)</f>
        <v>3</v>
      </c>
      <c r="G1421" s="8"/>
      <c r="H1421" s="8"/>
      <c r="I1421" s="8"/>
      <c r="J1421" s="8"/>
      <c r="K1421" s="8"/>
      <c r="L1421" s="8"/>
      <c r="M1421" s="6" t="s">
        <v>129</v>
      </c>
      <c r="N1421" s="8"/>
      <c r="O1421" s="9" t="s">
        <v>541</v>
      </c>
    </row>
    <row r="1445" spans="1:16" ht="20.100000000000001" customHeight="1">
      <c r="A1445" s="8" t="s">
        <v>1289</v>
      </c>
      <c r="B1445" s="8" t="s">
        <v>537</v>
      </c>
      <c r="C1445" s="8" t="s">
        <v>538</v>
      </c>
      <c r="D1445" s="8" t="s">
        <v>539</v>
      </c>
      <c r="E1445" s="2" t="s">
        <v>1290</v>
      </c>
      <c r="F1445" s="3" cm="1">
        <f t="array" ref="F1445:F1449">_xlfn.ANCHORARRAY(SharedData!$P$2)</f>
        <v>1</v>
      </c>
      <c r="G1445" s="8"/>
      <c r="H1445" s="8"/>
      <c r="I1445" s="8"/>
      <c r="J1445" s="8"/>
      <c r="K1445" s="8"/>
      <c r="L1445" s="8"/>
      <c r="M1445" s="6" t="s">
        <v>129</v>
      </c>
      <c r="N1445" s="8"/>
      <c r="O1445" s="9" t="s">
        <v>541</v>
      </c>
      <c r="P1445" s="3">
        <f>IFERROR(N(F1445),0)+IFERROR(N(ArraysCSE!$F$1157),0)+ROW()/100000</f>
        <v>1.0144500000000001</v>
      </c>
    </row>
    <row r="1446" spans="1:16">
      <c r="A1446" s="8"/>
      <c r="B1446" s="8"/>
      <c r="C1446" s="8"/>
      <c r="D1446" s="8"/>
      <c r="E1446" s="8"/>
      <c r="F1446" s="8">
        <v>2</v>
      </c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1:16">
      <c r="A1447" s="8"/>
      <c r="B1447" s="8"/>
      <c r="C1447" s="8"/>
      <c r="D1447" s="8"/>
      <c r="E1447" s="8"/>
      <c r="F1447" s="8">
        <v>3</v>
      </c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1:16">
      <c r="A1448" s="8"/>
      <c r="B1448" s="8"/>
      <c r="C1448" s="8"/>
      <c r="D1448" s="8"/>
      <c r="E1448" s="8"/>
      <c r="F1448" s="8">
        <v>4</v>
      </c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1:16">
      <c r="A1449" s="8"/>
      <c r="B1449" s="8"/>
      <c r="C1449" s="8"/>
      <c r="D1449" s="8"/>
      <c r="E1449" s="8"/>
      <c r="F1449" s="8">
        <v>5</v>
      </c>
      <c r="G1449" s="8"/>
      <c r="H1449" s="8"/>
      <c r="I1449" s="8"/>
      <c r="J1449" s="8"/>
      <c r="K1449" s="8"/>
      <c r="L1449" s="8"/>
      <c r="M1449" s="8"/>
      <c r="N1449" s="8"/>
      <c r="O1449" s="8"/>
      <c r="P1449" s="8"/>
    </row>
    <row r="1469" spans="1:15" ht="20.100000000000001" customHeight="1">
      <c r="A1469" s="8" t="s">
        <v>1291</v>
      </c>
      <c r="B1469" s="8" t="s">
        <v>537</v>
      </c>
      <c r="C1469" s="8" t="s">
        <v>538</v>
      </c>
      <c r="D1469" s="8" t="s">
        <v>539</v>
      </c>
      <c r="E1469" s="2" t="s">
        <v>1292</v>
      </c>
      <c r="F1469" s="3" t="e" vm="3">
        <f ca="1">SharedData!$R$2</f>
        <v>#VALUE!</v>
      </c>
      <c r="G1469" s="8"/>
      <c r="H1469" s="8"/>
      <c r="I1469" s="8"/>
      <c r="J1469" s="8"/>
      <c r="K1469" s="8"/>
      <c r="L1469" s="8"/>
      <c r="M1469" s="6" t="s">
        <v>129</v>
      </c>
      <c r="N1469" s="8"/>
      <c r="O1469" s="9" t="s">
        <v>541</v>
      </c>
    </row>
    <row r="1493" spans="1:15" ht="20.100000000000001" customHeight="1">
      <c r="A1493" s="8" t="s">
        <v>1293</v>
      </c>
      <c r="B1493" s="8" t="s">
        <v>537</v>
      </c>
      <c r="C1493" s="8" t="s">
        <v>538</v>
      </c>
      <c r="D1493" s="8" t="s">
        <v>539</v>
      </c>
      <c r="E1493" s="2" t="s">
        <v>1294</v>
      </c>
      <c r="F1493" s="3" t="b">
        <f ca="1">ISERROR(SharedData!$R$2)</f>
        <v>1</v>
      </c>
      <c r="G1493" s="8"/>
      <c r="H1493" s="8"/>
      <c r="I1493" s="8"/>
      <c r="J1493" s="8"/>
      <c r="K1493" s="8"/>
      <c r="L1493" s="8"/>
      <c r="M1493" s="6" t="s">
        <v>129</v>
      </c>
      <c r="N1493" s="8"/>
      <c r="O1493" s="9" t="s">
        <v>541</v>
      </c>
    </row>
    <row r="1517" spans="1:15" ht="20.100000000000001" customHeight="1">
      <c r="A1517" s="8" t="s">
        <v>1295</v>
      </c>
      <c r="B1517" s="8" t="s">
        <v>537</v>
      </c>
      <c r="C1517" s="8" t="s">
        <v>538</v>
      </c>
      <c r="D1517" s="8" t="s">
        <v>539</v>
      </c>
      <c r="E1517" s="2" t="s">
        <v>1296</v>
      </c>
      <c r="F1517" s="3">
        <f ca="1">ERROR.TYPE(SharedData!$R$2)</f>
        <v>9</v>
      </c>
      <c r="G1517" s="8"/>
      <c r="H1517" s="8"/>
      <c r="I1517" s="8"/>
      <c r="J1517" s="8"/>
      <c r="K1517" s="8"/>
      <c r="L1517" s="8"/>
      <c r="M1517" s="6" t="s">
        <v>129</v>
      </c>
      <c r="N1517" s="8"/>
      <c r="O1517" s="9" t="s">
        <v>541</v>
      </c>
    </row>
    <row r="1541" spans="1:15" ht="20.100000000000001" customHeight="1">
      <c r="A1541" s="8" t="s">
        <v>1297</v>
      </c>
      <c r="B1541" s="8" t="s">
        <v>537</v>
      </c>
      <c r="C1541" s="8" t="s">
        <v>538</v>
      </c>
      <c r="D1541" s="8" t="s">
        <v>539</v>
      </c>
      <c r="E1541" s="2" t="s">
        <v>1298</v>
      </c>
      <c r="F1541" s="3" t="str">
        <f ca="1">IFERROR(SharedData!$R$2,"spill-caught")</f>
        <v>spill-caught</v>
      </c>
      <c r="G1541" s="8"/>
      <c r="H1541" s="8"/>
      <c r="I1541" s="8"/>
      <c r="J1541" s="8"/>
      <c r="K1541" s="8"/>
      <c r="L1541" s="8"/>
      <c r="M1541" s="6" t="s">
        <v>129</v>
      </c>
      <c r="N1541" s="3" t="str">
        <f ca="1">IF(ISERROR(F1541),"ERROR "&amp;IFERROR(ERROR.TYPE(F1541),""),"OK")</f>
        <v>OK</v>
      </c>
      <c r="O1541" s="9" t="s">
        <v>541</v>
      </c>
    </row>
  </sheetData>
  <autoFilter ref="A4:P1541" xr:uid="{00000000-0009-0000-0000-000005000000}"/>
  <mergeCells count="2">
    <mergeCell ref="A1:P1"/>
    <mergeCell ref="A2:P2"/>
  </mergeCells>
  <conditionalFormatting sqref="F5:F1541">
    <cfRule type="containsErrors" dxfId="6" priority="1"/>
  </conditionalFormatting>
  <pageMargins left="0.3" right="0.3" top="0.5" bottom="0.5" header="0.2" footer="0.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1299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COUNTA(A5:A15)</f>
        <v>11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COUNTA(A5:A15)</f>
        <v>11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COUNTA(A5:A15)-COUNTIF(M5:M15,"excluded")</f>
        <v>11</v>
      </c>
    </row>
    <row r="5" spans="1:19" ht="18" customHeight="1">
      <c r="A5" s="8" t="s">
        <v>1300</v>
      </c>
      <c r="B5" s="8" t="s">
        <v>537</v>
      </c>
      <c r="C5" s="8" t="s">
        <v>538</v>
      </c>
      <c r="D5" s="8" t="s">
        <v>539</v>
      </c>
      <c r="E5" s="2" t="s">
        <v>1301</v>
      </c>
      <c r="F5" s="3" t="e">
        <f>SharedData!A6:A25</f>
        <v>#VALUE!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ERROR 3</v>
      </c>
      <c r="O5" s="9" t="s">
        <v>541</v>
      </c>
      <c r="P5" s="3">
        <f>IFERROR(N(F5),0)+IFERROR(N(ArraysDynamic!$F$5),0)+ROW()/100000</f>
        <v>150.00004999999999</v>
      </c>
      <c r="Q5" s="8"/>
      <c r="R5" s="8"/>
      <c r="S5" s="8"/>
    </row>
    <row r="6" spans="1:19" ht="18" customHeight="1">
      <c r="A6" s="8" t="s">
        <v>1302</v>
      </c>
      <c r="B6" s="8" t="s">
        <v>537</v>
      </c>
      <c r="C6" s="8" t="s">
        <v>538</v>
      </c>
      <c r="D6" s="8" t="s">
        <v>539</v>
      </c>
      <c r="E6" s="2" t="s">
        <v>1303</v>
      </c>
      <c r="F6" s="3">
        <f>_xlfn.SINGLE((SharedData!A6:A25))</f>
        <v>0.1</v>
      </c>
      <c r="G6" s="8"/>
      <c r="H6" s="8"/>
      <c r="I6" s="8"/>
      <c r="J6" s="8"/>
      <c r="K6" s="8"/>
      <c r="L6" s="8"/>
      <c r="M6" s="6" t="s">
        <v>129</v>
      </c>
      <c r="N6" s="8"/>
      <c r="O6" s="9" t="s">
        <v>541</v>
      </c>
      <c r="P6" s="8"/>
      <c r="Q6" s="8"/>
      <c r="R6" s="8"/>
      <c r="S6" s="8"/>
    </row>
    <row r="7" spans="1:19" ht="18" customHeight="1">
      <c r="A7" s="8" t="s">
        <v>1304</v>
      </c>
      <c r="B7" s="8" t="s">
        <v>537</v>
      </c>
      <c r="C7" s="8" t="s">
        <v>538</v>
      </c>
      <c r="D7" s="8" t="s">
        <v>539</v>
      </c>
      <c r="E7" s="2" t="s">
        <v>1305</v>
      </c>
      <c r="F7" s="3">
        <f>_xlfn.SINGLE((SharedData!A:A))</f>
        <v>0.2</v>
      </c>
      <c r="G7" s="8"/>
      <c r="H7" s="8"/>
      <c r="I7" s="8"/>
      <c r="J7" s="8"/>
      <c r="K7" s="8"/>
      <c r="L7" s="8"/>
      <c r="M7" s="6" t="s">
        <v>129</v>
      </c>
      <c r="N7" s="8"/>
      <c r="O7" s="9" t="s">
        <v>541</v>
      </c>
      <c r="P7" s="8"/>
      <c r="Q7" s="8"/>
      <c r="R7" s="8"/>
      <c r="S7" s="8"/>
    </row>
    <row r="8" spans="1:19" ht="18" customHeight="1">
      <c r="A8" s="8" t="s">
        <v>1306</v>
      </c>
      <c r="B8" s="8" t="s">
        <v>537</v>
      </c>
      <c r="C8" s="8" t="s">
        <v>538</v>
      </c>
      <c r="D8" s="8" t="s">
        <v>539</v>
      </c>
      <c r="E8" s="2" t="s">
        <v>1307</v>
      </c>
      <c r="F8" s="3">
        <f>_xlfn.SINGLE((_xlfn.SINGLE(SharedData!A6:A8)))</f>
        <v>-0.3</v>
      </c>
      <c r="G8" s="8"/>
      <c r="H8" s="8"/>
      <c r="I8" s="8"/>
      <c r="J8" s="8"/>
      <c r="K8" s="8"/>
      <c r="L8" s="8"/>
      <c r="M8" s="6" t="s">
        <v>129</v>
      </c>
      <c r="N8" s="8"/>
      <c r="O8" s="9" t="s">
        <v>541</v>
      </c>
      <c r="P8" s="8"/>
      <c r="Q8" s="8"/>
      <c r="R8" s="8"/>
      <c r="S8" s="8"/>
    </row>
    <row r="9" spans="1:19" ht="18" customHeight="1">
      <c r="A9" s="8" t="s">
        <v>1308</v>
      </c>
      <c r="B9" s="8" t="s">
        <v>537</v>
      </c>
      <c r="C9" s="8" t="s">
        <v>538</v>
      </c>
      <c r="D9" s="8" t="s">
        <v>539</v>
      </c>
      <c r="E9" s="2" t="s">
        <v>1309</v>
      </c>
      <c r="F9" s="3" t="e">
        <f>SharedData!A6:C6</f>
        <v>#VALUE!</v>
      </c>
      <c r="G9" s="8"/>
      <c r="H9" s="8"/>
      <c r="I9" s="8"/>
      <c r="J9" s="8"/>
      <c r="K9" s="8"/>
      <c r="L9" s="8"/>
      <c r="M9" s="6" t="s">
        <v>129</v>
      </c>
      <c r="N9" s="8"/>
      <c r="O9" s="9" t="s">
        <v>541</v>
      </c>
      <c r="P9" s="8"/>
      <c r="Q9" s="8"/>
      <c r="R9" s="8"/>
      <c r="S9" s="8"/>
    </row>
    <row r="10" spans="1:19" ht="18" customHeight="1">
      <c r="A10" s="8" t="s">
        <v>1310</v>
      </c>
      <c r="B10" s="8" t="s">
        <v>537</v>
      </c>
      <c r="C10" s="8" t="s">
        <v>538</v>
      </c>
      <c r="D10" s="8" t="s">
        <v>539</v>
      </c>
      <c r="E10" s="2" t="s">
        <v>1311</v>
      </c>
      <c r="F10" s="3">
        <f ca="1">SUM(SharedData!A6:A20 SharedData!A12:C12)</f>
        <v>4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541</v>
      </c>
      <c r="P10" s="8"/>
      <c r="Q10" s="8"/>
      <c r="R10" s="8"/>
      <c r="S10" s="8"/>
    </row>
    <row r="11" spans="1:19" ht="18" customHeight="1">
      <c r="A11" s="8" t="s">
        <v>1312</v>
      </c>
      <c r="B11" s="8" t="s">
        <v>537</v>
      </c>
      <c r="C11" s="8" t="s">
        <v>538</v>
      </c>
      <c r="D11" s="8" t="s">
        <v>539</v>
      </c>
      <c r="E11" s="2" t="s">
        <v>1313</v>
      </c>
      <c r="F11" s="3">
        <f ca="1">SUM((SharedData!A6:A8,SharedData!E6:E8))</f>
        <v>60</v>
      </c>
      <c r="G11" s="8"/>
      <c r="H11" s="8"/>
      <c r="I11" s="8"/>
      <c r="J11" s="8"/>
      <c r="K11" s="8"/>
      <c r="L11" s="8"/>
      <c r="M11" s="6" t="s">
        <v>129</v>
      </c>
      <c r="N11" s="8"/>
      <c r="O11" s="9" t="s">
        <v>541</v>
      </c>
      <c r="P11" s="8"/>
      <c r="Q11" s="8"/>
      <c r="R11" s="8"/>
      <c r="S11" s="8"/>
    </row>
    <row r="12" spans="1:19" ht="18" customHeight="1">
      <c r="A12" s="8" t="s">
        <v>1314</v>
      </c>
      <c r="B12" s="8" t="s">
        <v>537</v>
      </c>
      <c r="C12" s="8" t="s">
        <v>538</v>
      </c>
      <c r="D12" s="8" t="s">
        <v>539</v>
      </c>
      <c r="E12" s="2" t="s">
        <v>1315</v>
      </c>
      <c r="F12" s="3">
        <f ca="1">SUM(SharedData!A6:INDEX(SharedData!A:A,10))</f>
        <v>3</v>
      </c>
      <c r="G12" s="8"/>
      <c r="H12" s="8"/>
      <c r="I12" s="8"/>
      <c r="J12" s="8"/>
      <c r="K12" s="8"/>
      <c r="L12" s="8"/>
      <c r="M12" s="6" t="s">
        <v>129</v>
      </c>
      <c r="N12" s="8"/>
      <c r="O12" s="9" t="s">
        <v>541</v>
      </c>
      <c r="P12" s="8"/>
      <c r="Q12" s="8"/>
      <c r="R12" s="8"/>
      <c r="S12" s="8"/>
    </row>
    <row r="13" spans="1:19" ht="18" customHeight="1">
      <c r="A13" s="8" t="s">
        <v>1316</v>
      </c>
      <c r="B13" s="8" t="s">
        <v>537</v>
      </c>
      <c r="C13" s="8" t="s">
        <v>538</v>
      </c>
      <c r="D13" s="8" t="s">
        <v>539</v>
      </c>
      <c r="E13" s="2" t="s">
        <v>1317</v>
      </c>
      <c r="F13" s="3">
        <f>SUM(SharedData!6:8)</f>
        <v>263144.15000000002</v>
      </c>
      <c r="G13" s="8"/>
      <c r="H13" s="8"/>
      <c r="I13" s="8"/>
      <c r="J13" s="8"/>
      <c r="K13" s="8"/>
      <c r="L13" s="8"/>
      <c r="M13" s="6" t="s">
        <v>129</v>
      </c>
      <c r="N13" s="3" t="str">
        <f>IF(ISERROR(F13),"ERROR "&amp;IFERROR(ERROR.TYPE(F13),""),"OK")</f>
        <v>OK</v>
      </c>
      <c r="O13" s="9" t="s">
        <v>541</v>
      </c>
      <c r="P13" s="8"/>
      <c r="Q13" s="8"/>
      <c r="R13" s="8"/>
      <c r="S13" s="8"/>
    </row>
    <row r="14" spans="1:19" ht="18" customHeight="1">
      <c r="A14" s="8" t="s">
        <v>1318</v>
      </c>
      <c r="B14" s="8" t="s">
        <v>537</v>
      </c>
      <c r="C14" s="8" t="s">
        <v>538</v>
      </c>
      <c r="D14" s="8" t="s">
        <v>539</v>
      </c>
      <c r="E14" s="2" t="s">
        <v>1319</v>
      </c>
      <c r="F14" s="3">
        <f>SUM(SharedData!A:A)</f>
        <v>157.65</v>
      </c>
      <c r="G14" s="8"/>
      <c r="H14" s="8"/>
      <c r="I14" s="8"/>
      <c r="J14" s="8"/>
      <c r="K14" s="8"/>
      <c r="L14" s="8"/>
      <c r="M14" s="6" t="s">
        <v>129</v>
      </c>
      <c r="N14" s="8"/>
      <c r="O14" s="9" t="s">
        <v>541</v>
      </c>
      <c r="P14" s="8"/>
      <c r="Q14" s="8"/>
      <c r="R14" s="8"/>
      <c r="S14" s="8"/>
    </row>
    <row r="15" spans="1:19" ht="18" customHeight="1">
      <c r="A15" s="8" t="s">
        <v>1320</v>
      </c>
      <c r="B15" s="8" t="s">
        <v>537</v>
      </c>
      <c r="C15" s="8" t="s">
        <v>538</v>
      </c>
      <c r="D15" s="8" t="s">
        <v>539</v>
      </c>
      <c r="E15" s="2" t="s">
        <v>1321</v>
      </c>
      <c r="F15" s="3">
        <f ca="1">COUNT(SharedData!A:A SharedData!6:8)</f>
        <v>3</v>
      </c>
      <c r="G15" s="8"/>
      <c r="H15" s="8"/>
      <c r="I15" s="8"/>
      <c r="J15" s="8"/>
      <c r="K15" s="8"/>
      <c r="L15" s="8"/>
      <c r="M15" s="6" t="s">
        <v>129</v>
      </c>
      <c r="N15" s="8"/>
      <c r="O15" s="9" t="s">
        <v>541</v>
      </c>
      <c r="P15" s="8"/>
      <c r="Q15" s="8"/>
      <c r="R15" s="8"/>
      <c r="S15" s="8"/>
    </row>
  </sheetData>
  <autoFilter ref="A4:P15" xr:uid="{00000000-0009-0000-0000-000006000000}"/>
  <mergeCells count="2">
    <mergeCell ref="A1:P1"/>
    <mergeCell ref="A2:P2"/>
  </mergeCells>
  <conditionalFormatting sqref="F5:F15">
    <cfRule type="containsErrors" dxfId="5" priority="1"/>
  </conditionalFormatting>
  <pageMargins left="0.3" right="0.3" top="0.5" bottom="0.5" header="0.2" footer="0.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5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1322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COUNTA(A5:A65)</f>
        <v>61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COUNTA(A5:A65)</f>
        <v>61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COUNTA(A5:A65)-COUNTIF(M5:M65,"excluded")</f>
        <v>61</v>
      </c>
    </row>
    <row r="5" spans="1:19" ht="18" customHeight="1">
      <c r="A5" s="8" t="s">
        <v>1323</v>
      </c>
      <c r="B5" s="8" t="s">
        <v>27</v>
      </c>
      <c r="C5" s="8" t="s">
        <v>1324</v>
      </c>
      <c r="D5" s="8" t="s">
        <v>127</v>
      </c>
      <c r="E5" s="2" t="s">
        <v>1325</v>
      </c>
      <c r="F5" s="3">
        <f>ACCRINT(DATE(2024,1,1),DATE(2024,7,1),DATE(2025,1,1),0.05,1000,2)</f>
        <v>50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130</v>
      </c>
      <c r="P5" s="3">
        <f>IFERROR(N(F5),0)+IFERROR(N(Intersection!$F$5),0)+ROW()/100000</f>
        <v>50.000050000000002</v>
      </c>
      <c r="Q5" s="8"/>
      <c r="R5" s="8"/>
      <c r="S5" s="8"/>
    </row>
    <row r="6" spans="1:19" ht="18" customHeight="1">
      <c r="A6" s="8" t="s">
        <v>1326</v>
      </c>
      <c r="B6" s="8" t="s">
        <v>27</v>
      </c>
      <c r="C6" s="8" t="s">
        <v>1327</v>
      </c>
      <c r="D6" s="8" t="s">
        <v>127</v>
      </c>
      <c r="E6" s="2" t="s">
        <v>1328</v>
      </c>
      <c r="F6" s="3">
        <f>ACCRINTM(DATE(2024,1,1),DATE(2025,1,1),0.05,1000,0)</f>
        <v>50</v>
      </c>
      <c r="G6" s="8"/>
      <c r="H6" s="8"/>
      <c r="I6" s="8"/>
      <c r="J6" s="8"/>
      <c r="K6" s="8"/>
      <c r="L6" s="8"/>
      <c r="M6" s="6" t="s">
        <v>129</v>
      </c>
      <c r="N6" s="8"/>
      <c r="O6" s="9" t="s">
        <v>130</v>
      </c>
      <c r="P6" s="8"/>
      <c r="Q6" s="8"/>
      <c r="R6" s="8"/>
      <c r="S6" s="8"/>
    </row>
    <row r="7" spans="1:19" ht="18" customHeight="1">
      <c r="A7" s="8" t="s">
        <v>1329</v>
      </c>
      <c r="B7" s="8" t="s">
        <v>27</v>
      </c>
      <c r="C7" s="8" t="s">
        <v>1330</v>
      </c>
      <c r="D7" s="8" t="s">
        <v>127</v>
      </c>
      <c r="E7" s="2" t="s">
        <v>1331</v>
      </c>
      <c r="F7" s="3">
        <f>AMORDEGRC(10000,DATE(2023,1,1),DATE(2023,12,31),1000,1,0.15,0)</f>
        <v>2344</v>
      </c>
      <c r="G7" s="8"/>
      <c r="H7" s="8"/>
      <c r="I7" s="8"/>
      <c r="J7" s="8"/>
      <c r="K7" s="8"/>
      <c r="L7" s="8"/>
      <c r="M7" s="6" t="s">
        <v>129</v>
      </c>
      <c r="N7" s="8"/>
      <c r="O7" s="9" t="s">
        <v>130</v>
      </c>
      <c r="P7" s="8"/>
      <c r="Q7" s="8"/>
      <c r="R7" s="8"/>
      <c r="S7" s="8"/>
    </row>
    <row r="8" spans="1:19" ht="18" customHeight="1">
      <c r="A8" s="8" t="s">
        <v>1332</v>
      </c>
      <c r="B8" s="8" t="s">
        <v>27</v>
      </c>
      <c r="C8" s="8" t="s">
        <v>1333</v>
      </c>
      <c r="D8" s="8" t="s">
        <v>127</v>
      </c>
      <c r="E8" s="2" t="s">
        <v>1334</v>
      </c>
      <c r="F8" s="3">
        <f>AMORLINC(10000,DATE(2023,1,1),DATE(2023,12,31),1000,1,0.15,0)</f>
        <v>1500</v>
      </c>
      <c r="G8" s="8"/>
      <c r="H8" s="8"/>
      <c r="I8" s="8"/>
      <c r="J8" s="8"/>
      <c r="K8" s="8"/>
      <c r="L8" s="8"/>
      <c r="M8" s="6" t="s">
        <v>129</v>
      </c>
      <c r="N8" s="8"/>
      <c r="O8" s="9" t="s">
        <v>130</v>
      </c>
      <c r="P8" s="8"/>
      <c r="Q8" s="8"/>
      <c r="R8" s="8"/>
      <c r="S8" s="8"/>
    </row>
    <row r="9" spans="1:19" ht="18" customHeight="1">
      <c r="A9" s="8" t="s">
        <v>1335</v>
      </c>
      <c r="B9" s="8" t="s">
        <v>27</v>
      </c>
      <c r="C9" s="8" t="s">
        <v>1336</v>
      </c>
      <c r="D9" s="8" t="s">
        <v>127</v>
      </c>
      <c r="E9" s="2" t="s">
        <v>1337</v>
      </c>
      <c r="F9" s="3">
        <f>COUPDAYBS(DATE(2025,3,15),DATE(2027,1,1),2,0)</f>
        <v>74</v>
      </c>
      <c r="G9" s="8"/>
      <c r="H9" s="8"/>
      <c r="I9" s="8"/>
      <c r="J9" s="8"/>
      <c r="K9" s="8"/>
      <c r="L9" s="8"/>
      <c r="M9" s="6" t="s">
        <v>129</v>
      </c>
      <c r="N9" s="8"/>
      <c r="O9" s="9" t="s">
        <v>130</v>
      </c>
      <c r="P9" s="8"/>
      <c r="Q9" s="8"/>
      <c r="R9" s="8"/>
      <c r="S9" s="8"/>
    </row>
    <row r="10" spans="1:19" ht="18" customHeight="1">
      <c r="A10" s="8" t="s">
        <v>1338</v>
      </c>
      <c r="B10" s="8" t="s">
        <v>27</v>
      </c>
      <c r="C10" s="8" t="s">
        <v>1339</v>
      </c>
      <c r="D10" s="8" t="s">
        <v>127</v>
      </c>
      <c r="E10" s="2" t="s">
        <v>1340</v>
      </c>
      <c r="F10" s="3">
        <f>COUPDAYS(DATE(2025,3,15),DATE(2027,1,1),2,0)</f>
        <v>180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130</v>
      </c>
      <c r="P10" s="8"/>
      <c r="Q10" s="8"/>
      <c r="R10" s="8"/>
      <c r="S10" s="8"/>
    </row>
    <row r="11" spans="1:19" ht="18" customHeight="1">
      <c r="A11" s="8" t="s">
        <v>1341</v>
      </c>
      <c r="B11" s="8" t="s">
        <v>27</v>
      </c>
      <c r="C11" s="8" t="s">
        <v>1342</v>
      </c>
      <c r="D11" s="8" t="s">
        <v>127</v>
      </c>
      <c r="E11" s="2" t="s">
        <v>1343</v>
      </c>
      <c r="F11" s="3">
        <f>COUPDAYSNC(DATE(2025,3,15),DATE(2027,1,1),2,0)</f>
        <v>106</v>
      </c>
      <c r="G11" s="8"/>
      <c r="H11" s="8"/>
      <c r="I11" s="8"/>
      <c r="J11" s="8"/>
      <c r="K11" s="8"/>
      <c r="L11" s="8"/>
      <c r="M11" s="6" t="s">
        <v>129</v>
      </c>
      <c r="N11" s="8"/>
      <c r="O11" s="9" t="s">
        <v>130</v>
      </c>
      <c r="P11" s="8"/>
      <c r="Q11" s="8"/>
      <c r="R11" s="8"/>
      <c r="S11" s="8"/>
    </row>
    <row r="12" spans="1:19" ht="18" customHeight="1">
      <c r="A12" s="8" t="s">
        <v>1344</v>
      </c>
      <c r="B12" s="8" t="s">
        <v>27</v>
      </c>
      <c r="C12" s="8" t="s">
        <v>1345</v>
      </c>
      <c r="D12" s="8" t="s">
        <v>127</v>
      </c>
      <c r="E12" s="2" t="s">
        <v>1346</v>
      </c>
      <c r="F12" s="3">
        <f>COUPNCD(DATE(2025,3,15),DATE(2027,1,1),2,0)</f>
        <v>45839</v>
      </c>
      <c r="G12" s="8"/>
      <c r="H12" s="8"/>
      <c r="I12" s="8"/>
      <c r="J12" s="8"/>
      <c r="K12" s="8"/>
      <c r="L12" s="8"/>
      <c r="M12" s="6" t="s">
        <v>129</v>
      </c>
      <c r="N12" s="8"/>
      <c r="O12" s="9" t="s">
        <v>130</v>
      </c>
      <c r="P12" s="8"/>
      <c r="Q12" s="8"/>
      <c r="R12" s="8"/>
      <c r="S12" s="8"/>
    </row>
    <row r="13" spans="1:19" ht="18" customHeight="1">
      <c r="A13" s="8" t="s">
        <v>1347</v>
      </c>
      <c r="B13" s="8" t="s">
        <v>27</v>
      </c>
      <c r="C13" s="8" t="s">
        <v>1348</v>
      </c>
      <c r="D13" s="8" t="s">
        <v>127</v>
      </c>
      <c r="E13" s="2" t="s">
        <v>1349</v>
      </c>
      <c r="F13" s="3">
        <f>COUPNUM(DATE(2025,3,15),DATE(2027,1,1),2,0)</f>
        <v>4</v>
      </c>
      <c r="G13" s="8"/>
      <c r="H13" s="8"/>
      <c r="I13" s="8"/>
      <c r="J13" s="8"/>
      <c r="K13" s="8"/>
      <c r="L13" s="8"/>
      <c r="M13" s="6" t="s">
        <v>129</v>
      </c>
      <c r="N13" s="3" t="str">
        <f>IF(ISERROR(F13),"ERROR "&amp;IFERROR(ERROR.TYPE(F13),""),"OK")</f>
        <v>OK</v>
      </c>
      <c r="O13" s="9" t="s">
        <v>130</v>
      </c>
      <c r="P13" s="8"/>
      <c r="Q13" s="8"/>
      <c r="R13" s="8"/>
      <c r="S13" s="8"/>
    </row>
    <row r="14" spans="1:19" ht="18" customHeight="1">
      <c r="A14" s="8" t="s">
        <v>1350</v>
      </c>
      <c r="B14" s="8" t="s">
        <v>27</v>
      </c>
      <c r="C14" s="8" t="s">
        <v>1351</v>
      </c>
      <c r="D14" s="8" t="s">
        <v>127</v>
      </c>
      <c r="E14" s="2" t="s">
        <v>1352</v>
      </c>
      <c r="F14" s="3">
        <f>COUPPCD(DATE(2025,3,15),DATE(2027,1,1),2,0)</f>
        <v>45658</v>
      </c>
      <c r="G14" s="8"/>
      <c r="H14" s="8"/>
      <c r="I14" s="8"/>
      <c r="J14" s="8"/>
      <c r="K14" s="8"/>
      <c r="L14" s="8"/>
      <c r="M14" s="6" t="s">
        <v>129</v>
      </c>
      <c r="N14" s="8"/>
      <c r="O14" s="9" t="s">
        <v>130</v>
      </c>
      <c r="P14" s="8"/>
      <c r="Q14" s="8"/>
      <c r="R14" s="8"/>
      <c r="S14" s="8"/>
    </row>
    <row r="15" spans="1:19" ht="18" customHeight="1">
      <c r="A15" s="8" t="s">
        <v>1353</v>
      </c>
      <c r="B15" s="8" t="s">
        <v>27</v>
      </c>
      <c r="C15" s="8" t="s">
        <v>1354</v>
      </c>
      <c r="D15" s="8" t="s">
        <v>127</v>
      </c>
      <c r="E15" s="2" t="s">
        <v>1355</v>
      </c>
      <c r="F15" s="3">
        <f>CUMIPMT(0.05/12,60,20000,1,12,0)</f>
        <v>-917.99101493065655</v>
      </c>
      <c r="G15" s="8"/>
      <c r="H15" s="8"/>
      <c r="I15" s="8"/>
      <c r="J15" s="8"/>
      <c r="K15" s="8"/>
      <c r="L15" s="8"/>
      <c r="M15" s="6" t="s">
        <v>129</v>
      </c>
      <c r="N15" s="8"/>
      <c r="O15" s="9" t="s">
        <v>130</v>
      </c>
      <c r="P15" s="8"/>
      <c r="Q15" s="8"/>
      <c r="R15" s="8"/>
      <c r="S15" s="8"/>
    </row>
    <row r="16" spans="1:19" ht="18" customHeight="1">
      <c r="A16" s="8" t="s">
        <v>1356</v>
      </c>
      <c r="B16" s="8" t="s">
        <v>27</v>
      </c>
      <c r="C16" s="8" t="s">
        <v>1357</v>
      </c>
      <c r="D16" s="8" t="s">
        <v>127</v>
      </c>
      <c r="E16" s="2" t="s">
        <v>1358</v>
      </c>
      <c r="F16" s="3">
        <f>CUMPRINC(0.05/12,60,20000,1,12,0)</f>
        <v>-3611.1050596319687</v>
      </c>
      <c r="G16" s="8"/>
      <c r="H16" s="8"/>
      <c r="I16" s="8"/>
      <c r="J16" s="8"/>
      <c r="K16" s="8"/>
      <c r="L16" s="8"/>
      <c r="M16" s="6" t="s">
        <v>129</v>
      </c>
      <c r="N16" s="8"/>
      <c r="O16" s="9" t="s">
        <v>130</v>
      </c>
      <c r="P16" s="8"/>
      <c r="Q16" s="8"/>
      <c r="R16" s="8"/>
      <c r="S16" s="8"/>
    </row>
    <row r="17" spans="1:16" ht="18" customHeight="1">
      <c r="A17" s="8" t="s">
        <v>1359</v>
      </c>
      <c r="B17" s="8" t="s">
        <v>27</v>
      </c>
      <c r="C17" s="8" t="s">
        <v>1360</v>
      </c>
      <c r="D17" s="8" t="s">
        <v>127</v>
      </c>
      <c r="E17" s="2" t="s">
        <v>1361</v>
      </c>
      <c r="F17" s="3">
        <f>DB(10000,1000,5,2,6)</f>
        <v>3009.1950000000002</v>
      </c>
      <c r="G17" s="8"/>
      <c r="H17" s="8"/>
      <c r="I17" s="8"/>
      <c r="J17" s="8"/>
      <c r="K17" s="8"/>
      <c r="L17" s="8"/>
      <c r="M17" s="6" t="s">
        <v>129</v>
      </c>
      <c r="N17" s="8"/>
      <c r="O17" s="9" t="s">
        <v>130</v>
      </c>
      <c r="P17" s="3">
        <f>IFERROR(N(F17),0)+IFERROR(N(Intersection!$F$5),0)+ROW()/100000</f>
        <v>3009.19517</v>
      </c>
    </row>
    <row r="18" spans="1:16" ht="18" customHeight="1">
      <c r="A18" s="8" t="s">
        <v>1362</v>
      </c>
      <c r="B18" s="8" t="s">
        <v>27</v>
      </c>
      <c r="C18" s="8" t="s">
        <v>1363</v>
      </c>
      <c r="D18" s="8" t="s">
        <v>127</v>
      </c>
      <c r="E18" s="2" t="s">
        <v>1364</v>
      </c>
      <c r="F18" s="3">
        <f>DDB(10000,1000,5,2,2)</f>
        <v>2400</v>
      </c>
      <c r="G18" s="8"/>
      <c r="H18" s="8"/>
      <c r="I18" s="8"/>
      <c r="J18" s="8"/>
      <c r="K18" s="8"/>
      <c r="L18" s="8"/>
      <c r="M18" s="6" t="s">
        <v>129</v>
      </c>
      <c r="N18" s="8"/>
      <c r="O18" s="9" t="s">
        <v>130</v>
      </c>
      <c r="P18" s="8"/>
    </row>
    <row r="19" spans="1:16" ht="18" customHeight="1">
      <c r="A19" s="8" t="s">
        <v>1365</v>
      </c>
      <c r="B19" s="8" t="s">
        <v>27</v>
      </c>
      <c r="C19" s="8" t="s">
        <v>1366</v>
      </c>
      <c r="D19" s="8" t="s">
        <v>127</v>
      </c>
      <c r="E19" s="2" t="s">
        <v>1367</v>
      </c>
      <c r="F19" s="3">
        <f>DISC(DATE(2025,1,1),DATE(2025,7,1),97,100,0)</f>
        <v>6.0000000000000053E-2</v>
      </c>
      <c r="G19" s="8"/>
      <c r="H19" s="8"/>
      <c r="I19" s="8"/>
      <c r="J19" s="8"/>
      <c r="K19" s="8"/>
      <c r="L19" s="8"/>
      <c r="M19" s="6" t="s">
        <v>129</v>
      </c>
      <c r="N19" s="8"/>
      <c r="O19" s="9" t="s">
        <v>130</v>
      </c>
      <c r="P19" s="8"/>
    </row>
    <row r="20" spans="1:16" ht="18" customHeight="1">
      <c r="A20" s="8" t="s">
        <v>1368</v>
      </c>
      <c r="B20" s="8" t="s">
        <v>27</v>
      </c>
      <c r="C20" s="8" t="s">
        <v>1369</v>
      </c>
      <c r="D20" s="8" t="s">
        <v>127</v>
      </c>
      <c r="E20" s="2" t="s">
        <v>1370</v>
      </c>
      <c r="F20" s="3">
        <f>DOLLARDE(1.08,16)</f>
        <v>1.5000000000000004</v>
      </c>
      <c r="G20" s="8"/>
      <c r="H20" s="8"/>
      <c r="I20" s="8"/>
      <c r="J20" s="8"/>
      <c r="K20" s="8"/>
      <c r="L20" s="8"/>
      <c r="M20" s="6" t="s">
        <v>129</v>
      </c>
      <c r="N20" s="8"/>
      <c r="O20" s="9" t="s">
        <v>130</v>
      </c>
      <c r="P20" s="8"/>
    </row>
    <row r="21" spans="1:16" ht="18" customHeight="1">
      <c r="A21" s="8" t="s">
        <v>1371</v>
      </c>
      <c r="B21" s="8" t="s">
        <v>27</v>
      </c>
      <c r="C21" s="8" t="s">
        <v>1372</v>
      </c>
      <c r="D21" s="8" t="s">
        <v>127</v>
      </c>
      <c r="E21" s="2" t="s">
        <v>1373</v>
      </c>
      <c r="F21" s="3">
        <f>DOLLARFR(1.5,16)</f>
        <v>1.08</v>
      </c>
      <c r="G21" s="8"/>
      <c r="H21" s="8"/>
      <c r="I21" s="8"/>
      <c r="J21" s="8"/>
      <c r="K21" s="8"/>
      <c r="L21" s="8"/>
      <c r="M21" s="6" t="s">
        <v>129</v>
      </c>
      <c r="N21" s="3" t="str">
        <f>IF(ISERROR(F21),"ERROR "&amp;IFERROR(ERROR.TYPE(F21),""),"OK")</f>
        <v>OK</v>
      </c>
      <c r="O21" s="9" t="s">
        <v>130</v>
      </c>
      <c r="P21" s="8"/>
    </row>
    <row r="22" spans="1:16" ht="18" customHeight="1">
      <c r="A22" s="8" t="s">
        <v>1374</v>
      </c>
      <c r="B22" s="8" t="s">
        <v>27</v>
      </c>
      <c r="C22" s="8" t="s">
        <v>1375</v>
      </c>
      <c r="D22" s="8" t="s">
        <v>127</v>
      </c>
      <c r="E22" s="2" t="s">
        <v>1376</v>
      </c>
      <c r="F22" s="3">
        <f>DURATION(DATE(2025,1,1),DATE(2030,1,1),0.05,0.04,2,0)</f>
        <v>4.4989036445262318</v>
      </c>
      <c r="G22" s="8"/>
      <c r="H22" s="8"/>
      <c r="I22" s="8"/>
      <c r="J22" s="8"/>
      <c r="K22" s="8"/>
      <c r="L22" s="8"/>
      <c r="M22" s="6" t="s">
        <v>129</v>
      </c>
      <c r="N22" s="8"/>
      <c r="O22" s="9" t="s">
        <v>130</v>
      </c>
      <c r="P22" s="8"/>
    </row>
    <row r="23" spans="1:16" ht="18" customHeight="1">
      <c r="A23" s="8" t="s">
        <v>1377</v>
      </c>
      <c r="B23" s="8" t="s">
        <v>27</v>
      </c>
      <c r="C23" s="8" t="s">
        <v>1378</v>
      </c>
      <c r="D23" s="8" t="s">
        <v>127</v>
      </c>
      <c r="E23" s="2" t="s">
        <v>1379</v>
      </c>
      <c r="F23" s="3">
        <f>EFFECT(0.06,12)</f>
        <v>6.1677811864497611E-2</v>
      </c>
      <c r="G23" s="8"/>
      <c r="H23" s="8"/>
      <c r="I23" s="8"/>
      <c r="J23" s="8"/>
      <c r="K23" s="8"/>
      <c r="L23" s="8"/>
      <c r="M23" s="6" t="s">
        <v>129</v>
      </c>
      <c r="N23" s="8"/>
      <c r="O23" s="9" t="s">
        <v>130</v>
      </c>
      <c r="P23" s="8"/>
    </row>
    <row r="24" spans="1:16" ht="18" customHeight="1">
      <c r="A24" s="8" t="s">
        <v>1380</v>
      </c>
      <c r="B24" s="8" t="s">
        <v>27</v>
      </c>
      <c r="C24" s="8" t="s">
        <v>1381</v>
      </c>
      <c r="D24" s="8" t="s">
        <v>127</v>
      </c>
      <c r="E24" s="2" t="s">
        <v>1382</v>
      </c>
      <c r="F24" s="3">
        <f>FV(0.05/12,60,-250,-5000,0)</f>
        <v>23418.314102728415</v>
      </c>
      <c r="G24" s="8"/>
      <c r="H24" s="8"/>
      <c r="I24" s="8"/>
      <c r="J24" s="8"/>
      <c r="K24" s="8"/>
      <c r="L24" s="8"/>
      <c r="M24" s="6" t="s">
        <v>129</v>
      </c>
      <c r="N24" s="8"/>
      <c r="O24" s="9" t="s">
        <v>130</v>
      </c>
      <c r="P24" s="8"/>
    </row>
    <row r="25" spans="1:16" ht="18" customHeight="1">
      <c r="A25" s="8" t="s">
        <v>1383</v>
      </c>
      <c r="B25" s="8" t="s">
        <v>27</v>
      </c>
      <c r="C25" s="8" t="s">
        <v>1384</v>
      </c>
      <c r="D25" s="8" t="s">
        <v>127</v>
      </c>
      <c r="E25" s="2" t="s">
        <v>1385</v>
      </c>
      <c r="F25" s="3">
        <f>FVSCHEDULE(1000,{0.02,0.03,0.04,0.05})</f>
        <v>1147.2552000000003</v>
      </c>
      <c r="G25" s="8"/>
      <c r="H25" s="8"/>
      <c r="I25" s="8"/>
      <c r="J25" s="8"/>
      <c r="K25" s="8"/>
      <c r="L25" s="8"/>
      <c r="M25" s="6" t="s">
        <v>129</v>
      </c>
      <c r="N25" s="8"/>
      <c r="O25" s="9" t="s">
        <v>130</v>
      </c>
      <c r="P25" s="8"/>
    </row>
    <row r="26" spans="1:16" ht="18" customHeight="1">
      <c r="A26" s="8" t="s">
        <v>1386</v>
      </c>
      <c r="B26" s="8" t="s">
        <v>27</v>
      </c>
      <c r="C26" s="8" t="s">
        <v>1387</v>
      </c>
      <c r="D26" s="8" t="s">
        <v>127</v>
      </c>
      <c r="E26" s="2" t="s">
        <v>1388</v>
      </c>
      <c r="F26" s="3">
        <f>INTRATE(DATE(2025,1,1),DATE(2025,7,1),970,1000,0)</f>
        <v>6.1855670103092786E-2</v>
      </c>
      <c r="G26" s="8"/>
      <c r="H26" s="8"/>
      <c r="I26" s="8"/>
      <c r="J26" s="8"/>
      <c r="K26" s="8"/>
      <c r="L26" s="8"/>
      <c r="M26" s="6" t="s">
        <v>129</v>
      </c>
      <c r="N26" s="8"/>
      <c r="O26" s="9" t="s">
        <v>130</v>
      </c>
      <c r="P26" s="8"/>
    </row>
    <row r="27" spans="1:16" ht="18" customHeight="1">
      <c r="A27" s="8" t="s">
        <v>1389</v>
      </c>
      <c r="B27" s="8" t="s">
        <v>27</v>
      </c>
      <c r="C27" s="8" t="s">
        <v>1390</v>
      </c>
      <c r="D27" s="8" t="s">
        <v>127</v>
      </c>
      <c r="E27" s="2" t="s">
        <v>1391</v>
      </c>
      <c r="F27" s="3">
        <f>IPMT(0.05/12,12,60,20000,0,0)</f>
        <v>-69.56979092634127</v>
      </c>
      <c r="G27" s="8"/>
      <c r="H27" s="8"/>
      <c r="I27" s="8"/>
      <c r="J27" s="8"/>
      <c r="K27" s="8"/>
      <c r="L27" s="8"/>
      <c r="M27" s="6" t="s">
        <v>129</v>
      </c>
      <c r="N27" s="8"/>
      <c r="O27" s="9" t="s">
        <v>130</v>
      </c>
      <c r="P27" s="8"/>
    </row>
    <row r="28" spans="1:16" ht="18" customHeight="1">
      <c r="A28" s="8" t="s">
        <v>1392</v>
      </c>
      <c r="B28" s="8" t="s">
        <v>27</v>
      </c>
      <c r="C28" s="8" t="s">
        <v>1393</v>
      </c>
      <c r="D28" s="8" t="s">
        <v>127</v>
      </c>
      <c r="E28" s="2" t="s">
        <v>1394</v>
      </c>
      <c r="F28" s="3">
        <f>IRR(SharedData!$L$6:$L$15,0.1)</f>
        <v>0.21172443870958713</v>
      </c>
      <c r="G28" s="8"/>
      <c r="H28" s="8"/>
      <c r="I28" s="8"/>
      <c r="J28" s="8"/>
      <c r="K28" s="8"/>
      <c r="L28" s="8"/>
      <c r="M28" s="6" t="s">
        <v>129</v>
      </c>
      <c r="N28" s="8"/>
      <c r="O28" s="9" t="s">
        <v>130</v>
      </c>
      <c r="P28" s="8"/>
    </row>
    <row r="29" spans="1:16" ht="18" customHeight="1">
      <c r="A29" s="8" t="s">
        <v>1395</v>
      </c>
      <c r="B29" s="8" t="s">
        <v>27</v>
      </c>
      <c r="C29" s="8" t="s">
        <v>1396</v>
      </c>
      <c r="D29" s="8" t="s">
        <v>127</v>
      </c>
      <c r="E29" s="2" t="s">
        <v>1397</v>
      </c>
      <c r="F29" s="3">
        <f>ISPMT(0.05/12,12,60,20000)</f>
        <v>-66.666666666666671</v>
      </c>
      <c r="G29" s="8"/>
      <c r="H29" s="8"/>
      <c r="I29" s="8"/>
      <c r="J29" s="8"/>
      <c r="K29" s="8"/>
      <c r="L29" s="8"/>
      <c r="M29" s="6" t="s">
        <v>129</v>
      </c>
      <c r="N29" s="3" t="str">
        <f>IF(ISERROR(F29),"ERROR "&amp;IFERROR(ERROR.TYPE(F29),""),"OK")</f>
        <v>OK</v>
      </c>
      <c r="O29" s="9" t="s">
        <v>130</v>
      </c>
      <c r="P29" s="3">
        <f>IFERROR(N(F29),0)+IFERROR(N(Intersection!$F$17),0)+ROW()/100000</f>
        <v>-66.666376666666665</v>
      </c>
    </row>
    <row r="30" spans="1:16" ht="18" customHeight="1">
      <c r="A30" s="8" t="s">
        <v>1398</v>
      </c>
      <c r="B30" s="8" t="s">
        <v>27</v>
      </c>
      <c r="C30" s="8" t="s">
        <v>1399</v>
      </c>
      <c r="D30" s="8" t="s">
        <v>127</v>
      </c>
      <c r="E30" s="2" t="s">
        <v>1400</v>
      </c>
      <c r="F30" s="3">
        <f>MDURATION(DATE(2025,1,1),DATE(2030,1,1),0.05,0.04,2,0)</f>
        <v>4.4106898475747371</v>
      </c>
      <c r="G30" s="8"/>
      <c r="H30" s="8"/>
      <c r="I30" s="8"/>
      <c r="J30" s="8"/>
      <c r="K30" s="8"/>
      <c r="L30" s="8"/>
      <c r="M30" s="6" t="s">
        <v>129</v>
      </c>
      <c r="N30" s="8"/>
      <c r="O30" s="9" t="s">
        <v>130</v>
      </c>
      <c r="P30" s="8"/>
    </row>
    <row r="31" spans="1:16" ht="18" customHeight="1">
      <c r="A31" s="8" t="s">
        <v>1401</v>
      </c>
      <c r="B31" s="8" t="s">
        <v>27</v>
      </c>
      <c r="C31" s="8" t="s">
        <v>1402</v>
      </c>
      <c r="D31" s="8" t="s">
        <v>127</v>
      </c>
      <c r="E31" s="2" t="s">
        <v>1403</v>
      </c>
      <c r="F31" s="3">
        <f>MIRR(SharedData!$L$6:$L$15,0.08,0.1)</f>
        <v>0.15360335359030186</v>
      </c>
      <c r="G31" s="8"/>
      <c r="H31" s="8"/>
      <c r="I31" s="8"/>
      <c r="J31" s="8"/>
      <c r="K31" s="8"/>
      <c r="L31" s="8"/>
      <c r="M31" s="6" t="s">
        <v>129</v>
      </c>
      <c r="N31" s="8"/>
      <c r="O31" s="9" t="s">
        <v>130</v>
      </c>
      <c r="P31" s="8"/>
    </row>
    <row r="32" spans="1:16" ht="18" customHeight="1">
      <c r="A32" s="8" t="s">
        <v>1404</v>
      </c>
      <c r="B32" s="8" t="s">
        <v>27</v>
      </c>
      <c r="C32" s="8" t="s">
        <v>1405</v>
      </c>
      <c r="D32" s="8" t="s">
        <v>127</v>
      </c>
      <c r="E32" s="2" t="s">
        <v>1406</v>
      </c>
      <c r="F32" s="3">
        <f>NOMINAL(0.0617,12)</f>
        <v>6.002100341773442E-2</v>
      </c>
      <c r="G32" s="8"/>
      <c r="H32" s="8"/>
      <c r="I32" s="8"/>
      <c r="J32" s="8"/>
      <c r="K32" s="8"/>
      <c r="L32" s="8"/>
      <c r="M32" s="6" t="s">
        <v>129</v>
      </c>
      <c r="N32" s="8"/>
      <c r="O32" s="9" t="s">
        <v>130</v>
      </c>
      <c r="P32" s="8"/>
    </row>
    <row r="33" spans="1:16" ht="18" customHeight="1">
      <c r="A33" s="8" t="s">
        <v>1407</v>
      </c>
      <c r="B33" s="8" t="s">
        <v>27</v>
      </c>
      <c r="C33" s="8" t="s">
        <v>1408</v>
      </c>
      <c r="D33" s="8" t="s">
        <v>127</v>
      </c>
      <c r="E33" s="2" t="s">
        <v>1409</v>
      </c>
      <c r="F33" s="3">
        <f>NPER(0.05/12,-250,5000,0,0)</f>
        <v>20.926206016499037</v>
      </c>
      <c r="G33" s="8"/>
      <c r="H33" s="8"/>
      <c r="I33" s="8"/>
      <c r="J33" s="8"/>
      <c r="K33" s="8"/>
      <c r="L33" s="8"/>
      <c r="M33" s="6" t="s">
        <v>129</v>
      </c>
      <c r="N33" s="8"/>
      <c r="O33" s="9" t="s">
        <v>130</v>
      </c>
      <c r="P33" s="8"/>
    </row>
    <row r="34" spans="1:16" ht="18" customHeight="1">
      <c r="A34" s="8" t="s">
        <v>1410</v>
      </c>
      <c r="B34" s="8" t="s">
        <v>27</v>
      </c>
      <c r="C34" s="8" t="s">
        <v>1411</v>
      </c>
      <c r="D34" s="8" t="s">
        <v>127</v>
      </c>
      <c r="E34" s="2" t="s">
        <v>1412</v>
      </c>
      <c r="F34" s="3">
        <f>NPV(0.1,SharedData!$L$7:$L$15)+SharedData!$L$6</f>
        <v>553.63777652181943</v>
      </c>
      <c r="G34" s="8"/>
      <c r="H34" s="8"/>
      <c r="I34" s="8"/>
      <c r="J34" s="8"/>
      <c r="K34" s="8"/>
      <c r="L34" s="8"/>
      <c r="M34" s="6" t="s">
        <v>129</v>
      </c>
      <c r="N34" s="8"/>
      <c r="O34" s="9" t="s">
        <v>130</v>
      </c>
      <c r="P34" s="8"/>
    </row>
    <row r="35" spans="1:16" ht="18" customHeight="1">
      <c r="A35" s="8" t="s">
        <v>1413</v>
      </c>
      <c r="B35" s="8" t="s">
        <v>27</v>
      </c>
      <c r="C35" s="8" t="s">
        <v>1414</v>
      </c>
      <c r="D35" s="8" t="s">
        <v>137</v>
      </c>
      <c r="E35" s="2" t="s">
        <v>1415</v>
      </c>
      <c r="F35" s="3">
        <f>ODDFPRICE(DATE(2025,2,1),DATE(2030,3,1),DATE(2024,11,15),DATE(2025,3,1),0.05,0.06,100,2,0)</f>
        <v>95.673855249014565</v>
      </c>
      <c r="G35" s="8"/>
      <c r="H35" s="8"/>
      <c r="I35" s="8"/>
      <c r="J35" s="8"/>
      <c r="K35" s="8"/>
      <c r="L35" s="8"/>
      <c r="M35" s="6" t="s">
        <v>129</v>
      </c>
      <c r="N35" s="8"/>
      <c r="O35" s="9" t="s">
        <v>130</v>
      </c>
      <c r="P35" s="8"/>
    </row>
    <row r="36" spans="1:16" ht="18" customHeight="1">
      <c r="A36" s="8" t="s">
        <v>1416</v>
      </c>
      <c r="B36" s="8" t="s">
        <v>27</v>
      </c>
      <c r="C36" s="8" t="s">
        <v>1417</v>
      </c>
      <c r="D36" s="8" t="s">
        <v>137</v>
      </c>
      <c r="E36" s="2" t="s">
        <v>1418</v>
      </c>
      <c r="F36" s="3">
        <f>ODDFYIELD(DATE(2025,2,1),DATE(2030,3,1),DATE(2024,11,15),DATE(2025,3,1),0.05,95,100,2,0)</f>
        <v>6.160574566886326E-2</v>
      </c>
      <c r="G36" s="8"/>
      <c r="H36" s="8"/>
      <c r="I36" s="8"/>
      <c r="J36" s="8"/>
      <c r="K36" s="8"/>
      <c r="L36" s="8"/>
      <c r="M36" s="6" t="s">
        <v>129</v>
      </c>
      <c r="N36" s="8"/>
      <c r="O36" s="9" t="s">
        <v>130</v>
      </c>
      <c r="P36" s="8"/>
    </row>
    <row r="37" spans="1:16" ht="18" customHeight="1">
      <c r="A37" s="8" t="s">
        <v>1419</v>
      </c>
      <c r="B37" s="8" t="s">
        <v>27</v>
      </c>
      <c r="C37" s="8" t="s">
        <v>1420</v>
      </c>
      <c r="D37" s="8" t="s">
        <v>137</v>
      </c>
      <c r="E37" s="2" t="s">
        <v>1421</v>
      </c>
      <c r="F37" s="3">
        <f>ODDLPRICE(DATE(2025,2,1),DATE(2025,6,15),DATE(2024,10,15),0.05,0.06,100,2,0)</f>
        <v>99.60374778103828</v>
      </c>
      <c r="G37" s="8"/>
      <c r="H37" s="8"/>
      <c r="I37" s="8"/>
      <c r="J37" s="8"/>
      <c r="K37" s="8"/>
      <c r="L37" s="8"/>
      <c r="M37" s="6" t="s">
        <v>129</v>
      </c>
      <c r="N37" s="3" t="str">
        <f>IF(ISERROR(F37),"ERROR "&amp;IFERROR(ERROR.TYPE(F37),""),"OK")</f>
        <v>OK</v>
      </c>
      <c r="O37" s="9" t="s">
        <v>130</v>
      </c>
      <c r="P37" s="8"/>
    </row>
    <row r="38" spans="1:16" ht="18" customHeight="1">
      <c r="A38" s="8" t="s">
        <v>1422</v>
      </c>
      <c r="B38" s="8" t="s">
        <v>27</v>
      </c>
      <c r="C38" s="8" t="s">
        <v>1423</v>
      </c>
      <c r="D38" s="8" t="s">
        <v>137</v>
      </c>
      <c r="E38" s="2" t="s">
        <v>1424</v>
      </c>
      <c r="F38" s="3">
        <f>ODDLYIELD(DATE(2025,2,1),DATE(2025,6,15),DATE(2024,10,15),0.05,99,100,2,0)</f>
        <v>7.6504400859952082E-2</v>
      </c>
      <c r="G38" s="8"/>
      <c r="H38" s="8"/>
      <c r="I38" s="8"/>
      <c r="J38" s="8"/>
      <c r="K38" s="8"/>
      <c r="L38" s="8"/>
      <c r="M38" s="6" t="s">
        <v>129</v>
      </c>
      <c r="N38" s="8"/>
      <c r="O38" s="9" t="s">
        <v>130</v>
      </c>
      <c r="P38" s="8"/>
    </row>
    <row r="39" spans="1:16" ht="18" customHeight="1">
      <c r="A39" s="8" t="s">
        <v>1425</v>
      </c>
      <c r="B39" s="8" t="s">
        <v>27</v>
      </c>
      <c r="C39" s="8" t="s">
        <v>1426</v>
      </c>
      <c r="D39" s="8" t="s">
        <v>137</v>
      </c>
      <c r="E39" s="2" t="s">
        <v>1427</v>
      </c>
      <c r="F39" s="3">
        <f>_xlfn.PDURATION(0.05,1000,2000)</f>
        <v>14.206699082890463</v>
      </c>
      <c r="G39" s="8"/>
      <c r="H39" s="8"/>
      <c r="I39" s="8"/>
      <c r="J39" s="8"/>
      <c r="K39" s="8"/>
      <c r="L39" s="8"/>
      <c r="M39" s="6" t="s">
        <v>129</v>
      </c>
      <c r="N39" s="8"/>
      <c r="O39" s="9" t="s">
        <v>130</v>
      </c>
      <c r="P39" s="8"/>
    </row>
    <row r="40" spans="1:16" ht="18" customHeight="1">
      <c r="A40" s="8" t="s">
        <v>1428</v>
      </c>
      <c r="B40" s="8" t="s">
        <v>27</v>
      </c>
      <c r="C40" s="8" t="s">
        <v>1429</v>
      </c>
      <c r="D40" s="8" t="s">
        <v>127</v>
      </c>
      <c r="E40" s="2" t="s">
        <v>1430</v>
      </c>
      <c r="F40" s="3">
        <f>PMT(0.05/12,60,20000,0,0)</f>
        <v>-377.42467288021874</v>
      </c>
      <c r="G40" s="8"/>
      <c r="H40" s="8"/>
      <c r="I40" s="8"/>
      <c r="J40" s="8"/>
      <c r="K40" s="8"/>
      <c r="L40" s="8"/>
      <c r="M40" s="6" t="s">
        <v>129</v>
      </c>
      <c r="N40" s="8"/>
      <c r="O40" s="9" t="s">
        <v>130</v>
      </c>
      <c r="P40" s="8"/>
    </row>
    <row r="41" spans="1:16" ht="18" customHeight="1">
      <c r="A41" s="8" t="s">
        <v>1431</v>
      </c>
      <c r="B41" s="8" t="s">
        <v>27</v>
      </c>
      <c r="C41" s="8" t="s">
        <v>1432</v>
      </c>
      <c r="D41" s="8" t="s">
        <v>127</v>
      </c>
      <c r="E41" s="2" t="s">
        <v>1433</v>
      </c>
      <c r="F41" s="3">
        <f>PPMT(0.05/12,12,60,20000,0,0)</f>
        <v>-307.85488195387745</v>
      </c>
      <c r="G41" s="8"/>
      <c r="H41" s="8"/>
      <c r="I41" s="8"/>
      <c r="J41" s="8"/>
      <c r="K41" s="8"/>
      <c r="L41" s="8"/>
      <c r="M41" s="6" t="s">
        <v>129</v>
      </c>
      <c r="N41" s="8"/>
      <c r="O41" s="9" t="s">
        <v>130</v>
      </c>
      <c r="P41" s="3">
        <f>IFERROR(N(F41),0)+IFERROR(N(Intersection!$F$29),0)+ROW()/100000</f>
        <v>-307.85447195387746</v>
      </c>
    </row>
    <row r="42" spans="1:16" ht="18" customHeight="1">
      <c r="A42" s="8" t="s">
        <v>1434</v>
      </c>
      <c r="B42" s="8" t="s">
        <v>27</v>
      </c>
      <c r="C42" s="8" t="s">
        <v>1435</v>
      </c>
      <c r="D42" s="8" t="s">
        <v>127</v>
      </c>
      <c r="E42" s="2" t="s">
        <v>1436</v>
      </c>
      <c r="F42" s="3">
        <f>PRICE(DATE(2025,1,1),DATE(2030,1,1),0.05,0.04,100,2,0)</f>
        <v>104.49129250312113</v>
      </c>
      <c r="G42" s="8"/>
      <c r="H42" s="8"/>
      <c r="I42" s="8"/>
      <c r="J42" s="8"/>
      <c r="K42" s="8"/>
      <c r="L42" s="8"/>
      <c r="M42" s="6" t="s">
        <v>129</v>
      </c>
      <c r="N42" s="8"/>
      <c r="O42" s="9" t="s">
        <v>130</v>
      </c>
      <c r="P42" s="8"/>
    </row>
    <row r="43" spans="1:16" ht="18" customHeight="1">
      <c r="A43" s="8" t="s">
        <v>1437</v>
      </c>
      <c r="B43" s="8" t="s">
        <v>27</v>
      </c>
      <c r="C43" s="8" t="s">
        <v>1438</v>
      </c>
      <c r="D43" s="8" t="s">
        <v>127</v>
      </c>
      <c r="E43" s="2" t="s">
        <v>1439</v>
      </c>
      <c r="F43" s="3">
        <f>PRICEDISC(DATE(2025,1,1),DATE(2025,7,1),0.04,100,0)</f>
        <v>98</v>
      </c>
      <c r="G43" s="8"/>
      <c r="H43" s="8"/>
      <c r="I43" s="8"/>
      <c r="J43" s="8"/>
      <c r="K43" s="8"/>
      <c r="L43" s="8"/>
      <c r="M43" s="6" t="s">
        <v>129</v>
      </c>
      <c r="N43" s="8"/>
      <c r="O43" s="9" t="s">
        <v>130</v>
      </c>
      <c r="P43" s="8"/>
    </row>
    <row r="44" spans="1:16" ht="18" customHeight="1">
      <c r="A44" s="8" t="s">
        <v>1440</v>
      </c>
      <c r="B44" s="8" t="s">
        <v>27</v>
      </c>
      <c r="C44" s="8" t="s">
        <v>1441</v>
      </c>
      <c r="D44" s="8" t="s">
        <v>127</v>
      </c>
      <c r="E44" s="2" t="s">
        <v>1442</v>
      </c>
      <c r="F44" s="3">
        <f>PRICEMAT(DATE(2025,1,1),DATE(2025,7,1),DATE(2024,7,1),0.05,0.04,0)</f>
        <v>100.44117647058823</v>
      </c>
      <c r="G44" s="8"/>
      <c r="H44" s="8"/>
      <c r="I44" s="8"/>
      <c r="J44" s="8"/>
      <c r="K44" s="8"/>
      <c r="L44" s="8"/>
      <c r="M44" s="6" t="s">
        <v>129</v>
      </c>
      <c r="N44" s="8"/>
      <c r="O44" s="9" t="s">
        <v>130</v>
      </c>
      <c r="P44" s="8"/>
    </row>
    <row r="45" spans="1:16" ht="18" customHeight="1">
      <c r="A45" s="8" t="s">
        <v>1443</v>
      </c>
      <c r="B45" s="8" t="s">
        <v>27</v>
      </c>
      <c r="C45" s="8" t="s">
        <v>1444</v>
      </c>
      <c r="D45" s="8" t="s">
        <v>127</v>
      </c>
      <c r="E45" s="2" t="s">
        <v>1445</v>
      </c>
      <c r="F45" s="3">
        <f>PV(0.05/12,60,-250,0,0)</f>
        <v>13247.67658098187</v>
      </c>
      <c r="G45" s="8"/>
      <c r="H45" s="8"/>
      <c r="I45" s="8"/>
      <c r="J45" s="8"/>
      <c r="K45" s="8"/>
      <c r="L45" s="8"/>
      <c r="M45" s="6" t="s">
        <v>129</v>
      </c>
      <c r="N45" s="3" t="str">
        <f>IF(ISERROR(F45),"ERROR "&amp;IFERROR(ERROR.TYPE(F45),""),"OK")</f>
        <v>OK</v>
      </c>
      <c r="O45" s="9" t="s">
        <v>130</v>
      </c>
      <c r="P45" s="8"/>
    </row>
    <row r="46" spans="1:16" ht="18" customHeight="1">
      <c r="A46" s="8" t="s">
        <v>1446</v>
      </c>
      <c r="B46" s="8" t="s">
        <v>27</v>
      </c>
      <c r="C46" s="8" t="s">
        <v>1447</v>
      </c>
      <c r="D46" s="8" t="s">
        <v>127</v>
      </c>
      <c r="E46" s="2" t="s">
        <v>1448</v>
      </c>
      <c r="F46" s="3">
        <f>RATE(60,-250,10000,0,0,0.01)</f>
        <v>1.439478100091398E-2</v>
      </c>
      <c r="G46" s="8"/>
      <c r="H46" s="8"/>
      <c r="I46" s="8"/>
      <c r="J46" s="8"/>
      <c r="K46" s="8"/>
      <c r="L46" s="8"/>
      <c r="M46" s="6" t="s">
        <v>129</v>
      </c>
      <c r="N46" s="8"/>
      <c r="O46" s="9" t="s">
        <v>130</v>
      </c>
      <c r="P46" s="8"/>
    </row>
    <row r="47" spans="1:16" ht="18" customHeight="1">
      <c r="A47" s="8" t="s">
        <v>1449</v>
      </c>
      <c r="B47" s="8" t="s">
        <v>27</v>
      </c>
      <c r="C47" s="8" t="s">
        <v>1450</v>
      </c>
      <c r="D47" s="8" t="s">
        <v>127</v>
      </c>
      <c r="E47" s="2" t="s">
        <v>1451</v>
      </c>
      <c r="F47" s="3">
        <f>RECEIVED(DATE(2025,1,1),DATE(2025,7,1),970,0.05,0)</f>
        <v>994.87179487179492</v>
      </c>
      <c r="G47" s="8"/>
      <c r="H47" s="8"/>
      <c r="I47" s="8"/>
      <c r="J47" s="8"/>
      <c r="K47" s="8"/>
      <c r="L47" s="8"/>
      <c r="M47" s="6" t="s">
        <v>129</v>
      </c>
      <c r="N47" s="8"/>
      <c r="O47" s="9" t="s">
        <v>130</v>
      </c>
      <c r="P47" s="8"/>
    </row>
    <row r="48" spans="1:16" ht="18" customHeight="1">
      <c r="A48" s="8" t="s">
        <v>1452</v>
      </c>
      <c r="B48" s="8" t="s">
        <v>27</v>
      </c>
      <c r="C48" s="8" t="s">
        <v>1453</v>
      </c>
      <c r="D48" s="8" t="s">
        <v>137</v>
      </c>
      <c r="E48" s="2" t="s">
        <v>1454</v>
      </c>
      <c r="F48" s="3">
        <f>_xlfn.RRI(10,1000,2000)</f>
        <v>7.1773462536293131E-2</v>
      </c>
      <c r="G48" s="8"/>
      <c r="H48" s="8"/>
      <c r="I48" s="8"/>
      <c r="J48" s="8"/>
      <c r="K48" s="8"/>
      <c r="L48" s="8"/>
      <c r="M48" s="6" t="s">
        <v>129</v>
      </c>
      <c r="N48" s="8"/>
      <c r="O48" s="9" t="s">
        <v>130</v>
      </c>
      <c r="P48" s="8"/>
    </row>
    <row r="49" spans="1:16" ht="18" customHeight="1">
      <c r="A49" s="8" t="s">
        <v>1455</v>
      </c>
      <c r="B49" s="8" t="s">
        <v>27</v>
      </c>
      <c r="C49" s="8" t="s">
        <v>1456</v>
      </c>
      <c r="D49" s="8" t="s">
        <v>137</v>
      </c>
      <c r="E49" s="2" t="s">
        <v>1457</v>
      </c>
      <c r="F49" s="3">
        <f>SLN(10000,1000,5)</f>
        <v>1800</v>
      </c>
      <c r="G49" s="8"/>
      <c r="H49" s="8"/>
      <c r="I49" s="8"/>
      <c r="J49" s="8"/>
      <c r="K49" s="8"/>
      <c r="L49" s="8"/>
      <c r="M49" s="6" t="s">
        <v>129</v>
      </c>
      <c r="N49" s="8"/>
      <c r="O49" s="9" t="s">
        <v>130</v>
      </c>
      <c r="P49" s="8"/>
    </row>
    <row r="50" spans="1:16" ht="18" customHeight="1">
      <c r="A50" s="8" t="s">
        <v>1458</v>
      </c>
      <c r="B50" s="8" t="s">
        <v>27</v>
      </c>
      <c r="C50" s="8" t="s">
        <v>1459</v>
      </c>
      <c r="D50" s="8" t="s">
        <v>137</v>
      </c>
      <c r="E50" s="2" t="s">
        <v>1460</v>
      </c>
      <c r="F50" s="3">
        <f>SYD(10000,1000,5,2)</f>
        <v>2400</v>
      </c>
      <c r="G50" s="8"/>
      <c r="H50" s="8"/>
      <c r="I50" s="8"/>
      <c r="J50" s="8"/>
      <c r="K50" s="8"/>
      <c r="L50" s="8"/>
      <c r="M50" s="6" t="s">
        <v>129</v>
      </c>
      <c r="N50" s="8"/>
      <c r="O50" s="9" t="s">
        <v>130</v>
      </c>
      <c r="P50" s="8"/>
    </row>
    <row r="51" spans="1:16" ht="18" customHeight="1">
      <c r="A51" s="8" t="s">
        <v>1461</v>
      </c>
      <c r="B51" s="8" t="s">
        <v>27</v>
      </c>
      <c r="C51" s="8" t="s">
        <v>1462</v>
      </c>
      <c r="D51" s="8" t="s">
        <v>127</v>
      </c>
      <c r="E51" s="2" t="s">
        <v>1463</v>
      </c>
      <c r="F51" s="3">
        <f>TBILLEQ(DATE(2025,1,1),DATE(2025,7,1),0.04)</f>
        <v>4.1387912461730354E-2</v>
      </c>
      <c r="G51" s="8"/>
      <c r="H51" s="8"/>
      <c r="I51" s="8"/>
      <c r="J51" s="8"/>
      <c r="K51" s="8"/>
      <c r="L51" s="8"/>
      <c r="M51" s="6" t="s">
        <v>129</v>
      </c>
      <c r="N51" s="8"/>
      <c r="O51" s="9" t="s">
        <v>130</v>
      </c>
      <c r="P51" s="8"/>
    </row>
    <row r="52" spans="1:16" ht="18" customHeight="1">
      <c r="A52" s="8" t="s">
        <v>1464</v>
      </c>
      <c r="B52" s="8" t="s">
        <v>27</v>
      </c>
      <c r="C52" s="8" t="s">
        <v>1465</v>
      </c>
      <c r="D52" s="8" t="s">
        <v>127</v>
      </c>
      <c r="E52" s="2" t="s">
        <v>1466</v>
      </c>
      <c r="F52" s="3">
        <f>TBILLPRICE(DATE(2025,1,1),DATE(2025,7,1),0.04)</f>
        <v>97.988888888888894</v>
      </c>
      <c r="G52" s="8"/>
      <c r="H52" s="8"/>
      <c r="I52" s="8"/>
      <c r="J52" s="8"/>
      <c r="K52" s="8"/>
      <c r="L52" s="8"/>
      <c r="M52" s="6" t="s">
        <v>129</v>
      </c>
      <c r="N52" s="8"/>
      <c r="O52" s="9" t="s">
        <v>130</v>
      </c>
      <c r="P52" s="8"/>
    </row>
    <row r="53" spans="1:16" ht="18" customHeight="1">
      <c r="A53" s="8" t="s">
        <v>1467</v>
      </c>
      <c r="B53" s="8" t="s">
        <v>27</v>
      </c>
      <c r="C53" s="8" t="s">
        <v>1468</v>
      </c>
      <c r="D53" s="8" t="s">
        <v>127</v>
      </c>
      <c r="E53" s="2" t="s">
        <v>1469</v>
      </c>
      <c r="F53" s="3">
        <f>TBILLYIELD(DATE(2025,1,1),DATE(2025,7,1),98)</f>
        <v>4.059082196414477E-2</v>
      </c>
      <c r="G53" s="8"/>
      <c r="H53" s="8"/>
      <c r="I53" s="8"/>
      <c r="J53" s="8"/>
      <c r="K53" s="8"/>
      <c r="L53" s="8"/>
      <c r="M53" s="6" t="s">
        <v>129</v>
      </c>
      <c r="N53" s="3" t="str">
        <f>IF(ISERROR(F53),"ERROR "&amp;IFERROR(ERROR.TYPE(F53),""),"OK")</f>
        <v>OK</v>
      </c>
      <c r="O53" s="9" t="s">
        <v>130</v>
      </c>
      <c r="P53" s="3">
        <f>IFERROR(N(F53),0)+IFERROR(N(Intersection!$F$41),0)+ROW()/100000</f>
        <v>4.1120821964144773E-2</v>
      </c>
    </row>
    <row r="54" spans="1:16" ht="18" customHeight="1">
      <c r="A54" s="8" t="s">
        <v>1470</v>
      </c>
      <c r="B54" s="8" t="s">
        <v>27</v>
      </c>
      <c r="C54" s="8" t="s">
        <v>1471</v>
      </c>
      <c r="D54" s="8" t="s">
        <v>127</v>
      </c>
      <c r="E54" s="2" t="s">
        <v>1472</v>
      </c>
      <c r="F54" s="3">
        <f>VDB(10000,1000,5,1,2,2,FALSE)</f>
        <v>2400</v>
      </c>
      <c r="G54" s="8"/>
      <c r="H54" s="8"/>
      <c r="I54" s="8"/>
      <c r="J54" s="8"/>
      <c r="K54" s="8"/>
      <c r="L54" s="8"/>
      <c r="M54" s="6" t="s">
        <v>129</v>
      </c>
      <c r="N54" s="8"/>
      <c r="O54" s="9" t="s">
        <v>130</v>
      </c>
      <c r="P54" s="8"/>
    </row>
    <row r="55" spans="1:16" ht="18" customHeight="1">
      <c r="A55" s="8" t="s">
        <v>1473</v>
      </c>
      <c r="B55" s="8" t="s">
        <v>27</v>
      </c>
      <c r="C55" s="8" t="s">
        <v>1474</v>
      </c>
      <c r="D55" s="8" t="s">
        <v>127</v>
      </c>
      <c r="E55" s="2" t="s">
        <v>1475</v>
      </c>
      <c r="F55" s="3">
        <f>XIRR(SharedData!$L$6:$L$15,SharedData!$M$6:$M$15,0.1)</f>
        <v>0.47295716404914856</v>
      </c>
      <c r="G55" s="8"/>
      <c r="H55" s="8"/>
      <c r="I55" s="8"/>
      <c r="J55" s="8"/>
      <c r="K55" s="8"/>
      <c r="L55" s="8"/>
      <c r="M55" s="6" t="s">
        <v>129</v>
      </c>
      <c r="N55" s="8"/>
      <c r="O55" s="9" t="s">
        <v>130</v>
      </c>
      <c r="P55" s="8"/>
    </row>
    <row r="56" spans="1:16" ht="18" customHeight="1">
      <c r="A56" s="8" t="s">
        <v>1476</v>
      </c>
      <c r="B56" s="8" t="s">
        <v>27</v>
      </c>
      <c r="C56" s="8" t="s">
        <v>1477</v>
      </c>
      <c r="D56" s="8" t="s">
        <v>127</v>
      </c>
      <c r="E56" s="2" t="s">
        <v>1478</v>
      </c>
      <c r="F56" s="3">
        <f>XNPV(0.1,SharedData!$L$6:$L$15,SharedData!$M$6:$M$15)</f>
        <v>979.02425722098951</v>
      </c>
      <c r="G56" s="8"/>
      <c r="H56" s="8"/>
      <c r="I56" s="8"/>
      <c r="J56" s="8"/>
      <c r="K56" s="8"/>
      <c r="L56" s="8"/>
      <c r="M56" s="6" t="s">
        <v>129</v>
      </c>
      <c r="N56" s="8"/>
      <c r="O56" s="9" t="s">
        <v>130</v>
      </c>
      <c r="P56" s="8"/>
    </row>
    <row r="57" spans="1:16" ht="18" customHeight="1">
      <c r="A57" s="8" t="s">
        <v>1479</v>
      </c>
      <c r="B57" s="8" t="s">
        <v>27</v>
      </c>
      <c r="C57" s="8" t="s">
        <v>1480</v>
      </c>
      <c r="D57" s="8" t="s">
        <v>127</v>
      </c>
      <c r="E57" s="2" t="s">
        <v>1481</v>
      </c>
      <c r="F57" s="3">
        <f>YIELD(DATE(2025,1,1),DATE(2030,1,1),0.05,95,100,2,0)</f>
        <v>6.1776246409029394E-2</v>
      </c>
      <c r="G57" s="8"/>
      <c r="H57" s="8"/>
      <c r="I57" s="8"/>
      <c r="J57" s="8"/>
      <c r="K57" s="8"/>
      <c r="L57" s="8"/>
      <c r="M57" s="6" t="s">
        <v>129</v>
      </c>
      <c r="N57" s="8"/>
      <c r="O57" s="9" t="s">
        <v>130</v>
      </c>
      <c r="P57" s="8"/>
    </row>
    <row r="58" spans="1:16" ht="18" customHeight="1">
      <c r="A58" s="8" t="s">
        <v>1482</v>
      </c>
      <c r="B58" s="8" t="s">
        <v>27</v>
      </c>
      <c r="C58" s="8" t="s">
        <v>1483</v>
      </c>
      <c r="D58" s="8" t="s">
        <v>127</v>
      </c>
      <c r="E58" s="2" t="s">
        <v>1484</v>
      </c>
      <c r="F58" s="3">
        <f>YIELDDISC(DATE(2025,1,1),DATE(2025,7,1),97,100,0)</f>
        <v>6.1855670103092786E-2</v>
      </c>
      <c r="G58" s="8"/>
      <c r="H58" s="8"/>
      <c r="I58" s="8"/>
      <c r="J58" s="8"/>
      <c r="K58" s="8"/>
      <c r="L58" s="8"/>
      <c r="M58" s="6" t="s">
        <v>129</v>
      </c>
      <c r="N58" s="8"/>
      <c r="O58" s="9" t="s">
        <v>130</v>
      </c>
      <c r="P58" s="8"/>
    </row>
    <row r="59" spans="1:16" ht="18" customHeight="1">
      <c r="A59" s="8" t="s">
        <v>1485</v>
      </c>
      <c r="B59" s="8" t="s">
        <v>27</v>
      </c>
      <c r="C59" s="8" t="s">
        <v>1486</v>
      </c>
      <c r="D59" s="8" t="s">
        <v>127</v>
      </c>
      <c r="E59" s="2" t="s">
        <v>1487</v>
      </c>
      <c r="F59" s="3">
        <f>YIELDMAT(DATE(2025,1,1),DATE(2025,7,1),DATE(2024,7,1),0.05,98,0)</f>
        <v>8.9552238805970463E-2</v>
      </c>
      <c r="G59" s="8"/>
      <c r="H59" s="8"/>
      <c r="I59" s="8"/>
      <c r="J59" s="8"/>
      <c r="K59" s="8"/>
      <c r="L59" s="8"/>
      <c r="M59" s="6" t="s">
        <v>129</v>
      </c>
      <c r="N59" s="8"/>
      <c r="O59" s="9" t="s">
        <v>130</v>
      </c>
      <c r="P59" s="8"/>
    </row>
    <row r="60" spans="1:16" ht="18" customHeight="1">
      <c r="A60" s="8" t="s">
        <v>1488</v>
      </c>
      <c r="B60" s="8" t="s">
        <v>537</v>
      </c>
      <c r="C60" s="8" t="s">
        <v>538</v>
      </c>
      <c r="D60" s="8" t="s">
        <v>539</v>
      </c>
      <c r="E60" s="2" t="s">
        <v>1489</v>
      </c>
      <c r="F60" s="3">
        <f>PMT(0.05/12,60,PV(0.05/12,60,-250),0,0)</f>
        <v>-250.00000000000082</v>
      </c>
      <c r="G60" s="8"/>
      <c r="H60" s="8"/>
      <c r="I60" s="8"/>
      <c r="J60" s="8"/>
      <c r="K60" s="8"/>
      <c r="L60" s="8"/>
      <c r="M60" s="6" t="s">
        <v>129</v>
      </c>
      <c r="N60" s="8"/>
      <c r="O60" s="9" t="s">
        <v>541</v>
      </c>
      <c r="P60" s="8"/>
    </row>
    <row r="61" spans="1:16" ht="18" customHeight="1">
      <c r="A61" s="8" t="s">
        <v>1490</v>
      </c>
      <c r="B61" s="8" t="s">
        <v>537</v>
      </c>
      <c r="C61" s="8" t="s">
        <v>538</v>
      </c>
      <c r="D61" s="8" t="s">
        <v>539</v>
      </c>
      <c r="E61" s="2" t="s">
        <v>1491</v>
      </c>
      <c r="F61" s="3">
        <f>FV(0.05/12,60,-250,-5000,0)+PV(0.05/12,60,-250,0,0)</f>
        <v>36665.990683710283</v>
      </c>
      <c r="G61" s="8"/>
      <c r="H61" s="8"/>
      <c r="I61" s="8"/>
      <c r="J61" s="8"/>
      <c r="K61" s="8"/>
      <c r="L61" s="8"/>
      <c r="M61" s="6" t="s">
        <v>129</v>
      </c>
      <c r="N61" s="3" t="str">
        <f>IF(ISERROR(F61),"ERROR "&amp;IFERROR(ERROR.TYPE(F61),""),"OK")</f>
        <v>OK</v>
      </c>
      <c r="O61" s="9" t="s">
        <v>541</v>
      </c>
      <c r="P61" s="8"/>
    </row>
    <row r="62" spans="1:16" ht="18" customHeight="1">
      <c r="A62" s="8" t="s">
        <v>1492</v>
      </c>
      <c r="B62" s="8" t="s">
        <v>537</v>
      </c>
      <c r="C62" s="8" t="s">
        <v>538</v>
      </c>
      <c r="D62" s="8" t="s">
        <v>539</v>
      </c>
      <c r="E62" s="2" t="s">
        <v>1493</v>
      </c>
      <c r="F62" s="3">
        <f>IFERROR(IRR({-100,1,1,1,1,1},10),NA())</f>
        <v>-0.55350030213092549</v>
      </c>
      <c r="G62" s="8"/>
      <c r="H62" s="8"/>
      <c r="I62" s="8"/>
      <c r="J62" s="8"/>
      <c r="K62" s="8"/>
      <c r="L62" s="8"/>
      <c r="M62" s="6" t="s">
        <v>129</v>
      </c>
      <c r="N62" s="8"/>
      <c r="O62" s="9" t="s">
        <v>541</v>
      </c>
      <c r="P62" s="8"/>
    </row>
    <row r="63" spans="1:16" ht="18" customHeight="1">
      <c r="A63" s="8" t="s">
        <v>1494</v>
      </c>
      <c r="B63" s="8" t="s">
        <v>537</v>
      </c>
      <c r="C63" s="8" t="s">
        <v>538</v>
      </c>
      <c r="D63" s="8" t="s">
        <v>539</v>
      </c>
      <c r="E63" s="2" t="s">
        <v>1495</v>
      </c>
      <c r="F63" s="3" t="e">
        <f>IFERROR(IRR({100,200,300},0.1),NA())</f>
        <v>#N/A</v>
      </c>
      <c r="G63" s="8"/>
      <c r="H63" s="8"/>
      <c r="I63" s="8"/>
      <c r="J63" s="8"/>
      <c r="K63" s="8"/>
      <c r="L63" s="8"/>
      <c r="M63" s="6" t="s">
        <v>129</v>
      </c>
      <c r="N63" s="8"/>
      <c r="O63" s="9" t="s">
        <v>541</v>
      </c>
      <c r="P63" s="8"/>
    </row>
    <row r="64" spans="1:16" ht="18" customHeight="1">
      <c r="A64" s="8" t="s">
        <v>1496</v>
      </c>
      <c r="B64" s="8" t="s">
        <v>537</v>
      </c>
      <c r="C64" s="8" t="s">
        <v>538</v>
      </c>
      <c r="D64" s="8" t="s">
        <v>539</v>
      </c>
      <c r="E64" s="2" t="s">
        <v>1497</v>
      </c>
      <c r="F64" s="3">
        <f>IFERROR(RATE(2,-100,1000,0,0,0.9),NA())</f>
        <v>-0.62984378812833819</v>
      </c>
      <c r="G64" s="8"/>
      <c r="H64" s="8"/>
      <c r="I64" s="8"/>
      <c r="J64" s="8"/>
      <c r="K64" s="8"/>
      <c r="L64" s="8"/>
      <c r="M64" s="6" t="s">
        <v>129</v>
      </c>
      <c r="N64" s="8"/>
      <c r="O64" s="9" t="s">
        <v>541</v>
      </c>
      <c r="P64" s="8"/>
    </row>
    <row r="65" spans="1:16" ht="18" customHeight="1">
      <c r="A65" s="8" t="s">
        <v>1498</v>
      </c>
      <c r="B65" s="8" t="s">
        <v>537</v>
      </c>
      <c r="C65" s="8" t="s">
        <v>538</v>
      </c>
      <c r="D65" s="8" t="s">
        <v>539</v>
      </c>
      <c r="E65" s="2" t="s">
        <v>1499</v>
      </c>
      <c r="F65" s="3">
        <f>PRICE(DATE(2025,1,1),DATE(2030,1,1),0.05,YIELD(DATE(2025,1,1),DATE(2030,1,1),0.05,95,100,2,0),100,2,0)</f>
        <v>95.00000000000027</v>
      </c>
      <c r="G65" s="8"/>
      <c r="H65" s="8"/>
      <c r="I65" s="8"/>
      <c r="J65" s="8"/>
      <c r="K65" s="8"/>
      <c r="L65" s="8"/>
      <c r="M65" s="6" t="s">
        <v>129</v>
      </c>
      <c r="N65" s="8"/>
      <c r="O65" s="9" t="s">
        <v>541</v>
      </c>
      <c r="P65" s="3">
        <f>IFERROR(N(F65),0)+IFERROR(N(Intersection!$F$53),0)+ROW()/100000</f>
        <v>95.000650000000263</v>
      </c>
    </row>
  </sheetData>
  <autoFilter ref="A4:P65" xr:uid="{00000000-0009-0000-0000-000007000000}"/>
  <mergeCells count="2">
    <mergeCell ref="A1:P1"/>
    <mergeCell ref="A2:P2"/>
  </mergeCells>
  <conditionalFormatting sqref="F5:F65">
    <cfRule type="containsErrors" dxfId="4" priority="1"/>
  </conditionalFormatting>
  <pageMargins left="0.3" right="0.3" top="0.5" bottom="0.5" header="0.2" footer="0.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8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1500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COUNTA(A5:A38)</f>
        <v>34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COUNTA(A5:A38)</f>
        <v>34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COUNTA(A5:A38)-COUNTIF(M5:M38,"excluded")</f>
        <v>34</v>
      </c>
    </row>
    <row r="5" spans="1:19" ht="18" customHeight="1">
      <c r="A5" s="8" t="s">
        <v>1501</v>
      </c>
      <c r="B5" s="8" t="s">
        <v>1502</v>
      </c>
      <c r="C5" s="8" t="s">
        <v>1503</v>
      </c>
      <c r="D5" s="8" t="s">
        <v>127</v>
      </c>
      <c r="E5" s="2" t="s">
        <v>1504</v>
      </c>
      <c r="F5" s="3" t="str">
        <f>ADDRESS(12,5,1,TRUE,"SharedData")</f>
        <v>SharedData!$E$12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130</v>
      </c>
      <c r="P5" s="3">
        <f>IFERROR(N(F5),0)+IFERROR(N(Financial!$F$5),0)+ROW()/100000</f>
        <v>50.000050000000002</v>
      </c>
      <c r="Q5" s="8"/>
      <c r="R5" s="8"/>
      <c r="S5" s="8"/>
    </row>
    <row r="6" spans="1:19" ht="18" customHeight="1">
      <c r="A6" s="8" t="s">
        <v>1505</v>
      </c>
      <c r="B6" s="8" t="s">
        <v>1502</v>
      </c>
      <c r="C6" s="8" t="s">
        <v>1506</v>
      </c>
      <c r="D6" s="8" t="s">
        <v>127</v>
      </c>
      <c r="E6" s="2" t="s">
        <v>1507</v>
      </c>
      <c r="F6" s="3">
        <f ca="1">AREAS((SharedData!$A$6:$A$8,SharedData!$E$6:$E$8))</f>
        <v>2</v>
      </c>
      <c r="G6" s="8"/>
      <c r="H6" s="8"/>
      <c r="I6" s="8"/>
      <c r="J6" s="8"/>
      <c r="K6" s="8"/>
      <c r="L6" s="8"/>
      <c r="M6" s="6" t="s">
        <v>129</v>
      </c>
      <c r="N6" s="8"/>
      <c r="O6" s="9" t="s">
        <v>130</v>
      </c>
      <c r="P6" s="8"/>
      <c r="Q6" s="8"/>
      <c r="R6" s="8"/>
      <c r="S6" s="8"/>
    </row>
    <row r="7" spans="1:19" ht="18" customHeight="1">
      <c r="A7" s="8" t="s">
        <v>1508</v>
      </c>
      <c r="B7" s="8" t="s">
        <v>1502</v>
      </c>
      <c r="C7" s="8" t="s">
        <v>1509</v>
      </c>
      <c r="D7" s="8" t="s">
        <v>127</v>
      </c>
      <c r="E7" s="2" t="s">
        <v>1510</v>
      </c>
      <c r="F7" s="3" t="str">
        <f>CHOOSE(3,SharedData!$B$6,SharedData!$B$7,SharedData!$B$8)</f>
        <v>K003</v>
      </c>
      <c r="G7" s="8"/>
      <c r="H7" s="8"/>
      <c r="I7" s="8"/>
      <c r="J7" s="8"/>
      <c r="K7" s="8"/>
      <c r="L7" s="8"/>
      <c r="M7" s="6" t="s">
        <v>129</v>
      </c>
      <c r="N7" s="8"/>
      <c r="O7" s="9" t="s">
        <v>130</v>
      </c>
      <c r="P7" s="8"/>
      <c r="Q7" s="8"/>
      <c r="R7" s="8"/>
      <c r="S7" s="8"/>
    </row>
    <row r="8" spans="1:19" ht="18" customHeight="1">
      <c r="A8" s="8" t="s">
        <v>1511</v>
      </c>
      <c r="B8" s="8" t="s">
        <v>1502</v>
      </c>
      <c r="C8" s="8" t="s">
        <v>1512</v>
      </c>
      <c r="D8" s="8" t="s">
        <v>127</v>
      </c>
      <c r="E8" s="2" t="s">
        <v>1513</v>
      </c>
      <c r="F8" s="3">
        <f>COLUMN(SharedData!$E$6)</f>
        <v>5</v>
      </c>
      <c r="G8" s="8"/>
      <c r="H8" s="8"/>
      <c r="I8" s="8"/>
      <c r="J8" s="8"/>
      <c r="K8" s="8"/>
      <c r="L8" s="8"/>
      <c r="M8" s="6" t="s">
        <v>129</v>
      </c>
      <c r="N8" s="8"/>
      <c r="O8" s="9" t="s">
        <v>130</v>
      </c>
      <c r="P8" s="8"/>
      <c r="Q8" s="8"/>
      <c r="R8" s="8"/>
      <c r="S8" s="8"/>
    </row>
    <row r="9" spans="1:19" ht="18" customHeight="1">
      <c r="A9" s="8" t="s">
        <v>1514</v>
      </c>
      <c r="B9" s="8" t="s">
        <v>1502</v>
      </c>
      <c r="C9" s="8" t="s">
        <v>1515</v>
      </c>
      <c r="D9" s="8" t="s">
        <v>127</v>
      </c>
      <c r="E9" s="2" t="s">
        <v>1516</v>
      </c>
      <c r="F9" s="3">
        <f>COLUMNS(SharedData!$A$6:$F$25)</f>
        <v>6</v>
      </c>
      <c r="G9" s="8"/>
      <c r="H9" s="8"/>
      <c r="I9" s="8"/>
      <c r="J9" s="8"/>
      <c r="K9" s="8"/>
      <c r="L9" s="8"/>
      <c r="M9" s="6" t="s">
        <v>129</v>
      </c>
      <c r="N9" s="8"/>
      <c r="O9" s="9" t="s">
        <v>130</v>
      </c>
      <c r="P9" s="8"/>
      <c r="Q9" s="8"/>
      <c r="R9" s="8"/>
      <c r="S9" s="8"/>
    </row>
    <row r="10" spans="1:19" ht="18" customHeight="1">
      <c r="A10" s="8" t="s">
        <v>1517</v>
      </c>
      <c r="B10" s="8" t="s">
        <v>1502</v>
      </c>
      <c r="C10" s="8" t="s">
        <v>1518</v>
      </c>
      <c r="D10" s="8" t="s">
        <v>127</v>
      </c>
      <c r="E10" s="2" t="s">
        <v>1519</v>
      </c>
      <c r="F10" s="3">
        <f>HLOOKUP("Amount",SharedData!$A$30:$F$50,10,FALSE)</f>
        <v>90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130</v>
      </c>
      <c r="P10" s="8"/>
      <c r="Q10" s="8"/>
      <c r="R10" s="8"/>
      <c r="S10" s="8"/>
    </row>
    <row r="11" spans="1:19" ht="18" customHeight="1">
      <c r="A11" s="8" t="s">
        <v>1520</v>
      </c>
      <c r="B11" s="8" t="s">
        <v>1502</v>
      </c>
      <c r="C11" s="8" t="s">
        <v>1521</v>
      </c>
      <c r="D11" s="8" t="s">
        <v>127</v>
      </c>
      <c r="E11" s="2" t="s">
        <v>1522</v>
      </c>
      <c r="F11" s="3" t="str">
        <f>HYPERLINK("https://github.com/emulette/cellrune","CellRune")</f>
        <v>CellRune</v>
      </c>
      <c r="G11" s="8"/>
      <c r="H11" s="8"/>
      <c r="I11" s="8"/>
      <c r="J11" s="8"/>
      <c r="K11" s="8"/>
      <c r="L11" s="8"/>
      <c r="M11" s="6" t="s">
        <v>129</v>
      </c>
      <c r="N11" s="8"/>
      <c r="O11" s="9" t="s">
        <v>130</v>
      </c>
      <c r="P11" s="8"/>
      <c r="Q11" s="8"/>
      <c r="R11" s="8"/>
      <c r="S11" s="8"/>
    </row>
    <row r="12" spans="1:19" ht="18" customHeight="1">
      <c r="A12" s="8" t="s">
        <v>1523</v>
      </c>
      <c r="B12" s="8" t="s">
        <v>1502</v>
      </c>
      <c r="C12" s="8" t="s">
        <v>1524</v>
      </c>
      <c r="D12" s="8" t="s">
        <v>127</v>
      </c>
      <c r="E12" s="2" t="s">
        <v>1525</v>
      </c>
      <c r="F12" s="3">
        <f>INDEX(SharedData!$E$6:$E$25,MATCH("K010",SharedData!$B$6:$B$25,0))</f>
        <v>100</v>
      </c>
      <c r="G12" s="8"/>
      <c r="H12" s="8"/>
      <c r="I12" s="8"/>
      <c r="J12" s="8"/>
      <c r="K12" s="8"/>
      <c r="L12" s="8"/>
      <c r="M12" s="6" t="s">
        <v>129</v>
      </c>
      <c r="N12" s="8"/>
      <c r="O12" s="9" t="s">
        <v>130</v>
      </c>
      <c r="P12" s="8"/>
      <c r="Q12" s="8"/>
      <c r="R12" s="8"/>
      <c r="S12" s="8"/>
    </row>
    <row r="13" spans="1:19" ht="18" customHeight="1">
      <c r="A13" s="8" t="s">
        <v>1526</v>
      </c>
      <c r="B13" s="8" t="s">
        <v>1502</v>
      </c>
      <c r="C13" s="8" t="s">
        <v>1527</v>
      </c>
      <c r="D13" s="8" t="s">
        <v>127</v>
      </c>
      <c r="E13" s="2" t="s">
        <v>1528</v>
      </c>
      <c r="F13" s="3">
        <f ca="1">INDIRECT("'SharedData'!E"&amp;MATCH("K010",SharedData!$B$1:$B$25,0))</f>
        <v>100</v>
      </c>
      <c r="G13" s="8"/>
      <c r="H13" s="8"/>
      <c r="I13" s="8"/>
      <c r="J13" s="8"/>
      <c r="K13" s="8"/>
      <c r="L13" s="8"/>
      <c r="M13" s="6" t="s">
        <v>129</v>
      </c>
      <c r="N13" s="3" t="str">
        <f ca="1">IF(ISERROR(F13),"ERROR "&amp;IFERROR(ERROR.TYPE(F13),""),"OK")</f>
        <v>OK</v>
      </c>
      <c r="O13" s="9" t="s">
        <v>130</v>
      </c>
      <c r="P13" s="8"/>
      <c r="Q13" s="8"/>
      <c r="R13" s="8"/>
      <c r="S13" s="8"/>
    </row>
    <row r="14" spans="1:19" ht="18" customHeight="1">
      <c r="A14" s="8" t="s">
        <v>1529</v>
      </c>
      <c r="B14" s="8" t="s">
        <v>1502</v>
      </c>
      <c r="C14" s="8" t="s">
        <v>1530</v>
      </c>
      <c r="D14" s="8" t="s">
        <v>127</v>
      </c>
      <c r="E14" s="2" t="s">
        <v>1531</v>
      </c>
      <c r="F14" s="3" t="b">
        <f>_xlfn.ISFORMULA(SharedData!$J$6)</f>
        <v>1</v>
      </c>
      <c r="G14" s="8"/>
      <c r="H14" s="8"/>
      <c r="I14" s="8"/>
      <c r="J14" s="8"/>
      <c r="K14" s="8"/>
      <c r="L14" s="8"/>
      <c r="M14" s="6" t="s">
        <v>129</v>
      </c>
      <c r="N14" s="8"/>
      <c r="O14" s="9" t="s">
        <v>130</v>
      </c>
      <c r="P14" s="8"/>
      <c r="Q14" s="8"/>
      <c r="R14" s="8"/>
      <c r="S14" s="8"/>
    </row>
    <row r="15" spans="1:19" ht="18" customHeight="1">
      <c r="A15" s="8" t="s">
        <v>1532</v>
      </c>
      <c r="B15" s="8" t="s">
        <v>1502</v>
      </c>
      <c r="C15" s="8" t="s">
        <v>1533</v>
      </c>
      <c r="D15" s="8" t="s">
        <v>127</v>
      </c>
      <c r="E15" s="2" t="s">
        <v>1534</v>
      </c>
      <c r="F15" s="3" t="b">
        <f>ISREF(SharedData!$A$6:$A$10)</f>
        <v>1</v>
      </c>
      <c r="G15" s="8"/>
      <c r="H15" s="8"/>
      <c r="I15" s="8"/>
      <c r="J15" s="8"/>
      <c r="K15" s="8"/>
      <c r="L15" s="8"/>
      <c r="M15" s="6" t="s">
        <v>129</v>
      </c>
      <c r="N15" s="8"/>
      <c r="O15" s="9" t="s">
        <v>130</v>
      </c>
      <c r="P15" s="8"/>
      <c r="Q15" s="8"/>
      <c r="R15" s="8"/>
      <c r="S15" s="8"/>
    </row>
    <row r="16" spans="1:19" ht="18" customHeight="1">
      <c r="A16" s="8" t="s">
        <v>1535</v>
      </c>
      <c r="B16" s="8" t="s">
        <v>1502</v>
      </c>
      <c r="C16" s="8" t="s">
        <v>1536</v>
      </c>
      <c r="D16" s="8" t="s">
        <v>127</v>
      </c>
      <c r="E16" s="2" t="s">
        <v>1537</v>
      </c>
      <c r="F16" s="3" t="str">
        <f>LOOKUP(75,SharedData!$E$6:$E$25,SharedData!$B$6:$B$25)</f>
        <v>K007</v>
      </c>
      <c r="G16" s="8"/>
      <c r="H16" s="8"/>
      <c r="I16" s="8"/>
      <c r="J16" s="8"/>
      <c r="K16" s="8"/>
      <c r="L16" s="8"/>
      <c r="M16" s="6" t="s">
        <v>129</v>
      </c>
      <c r="N16" s="8"/>
      <c r="O16" s="9" t="s">
        <v>130</v>
      </c>
      <c r="P16" s="8"/>
      <c r="Q16" s="8"/>
      <c r="R16" s="8"/>
      <c r="S16" s="8"/>
    </row>
    <row r="17" spans="1:16" ht="18" customHeight="1">
      <c r="A17" s="8" t="s">
        <v>1538</v>
      </c>
      <c r="B17" s="8" t="s">
        <v>1502</v>
      </c>
      <c r="C17" s="8" t="s">
        <v>1539</v>
      </c>
      <c r="D17" s="8" t="s">
        <v>127</v>
      </c>
      <c r="E17" s="2" t="s">
        <v>1540</v>
      </c>
      <c r="F17" s="3">
        <f>MATCH("K010",SharedData!$B$6:$B$25,0)</f>
        <v>10</v>
      </c>
      <c r="G17" s="8"/>
      <c r="H17" s="8"/>
      <c r="I17" s="8"/>
      <c r="J17" s="8"/>
      <c r="K17" s="8"/>
      <c r="L17" s="8"/>
      <c r="M17" s="6" t="s">
        <v>129</v>
      </c>
      <c r="N17" s="8"/>
      <c r="O17" s="9" t="s">
        <v>130</v>
      </c>
      <c r="P17" s="3">
        <f>IFERROR(N(F17),0)+IFERROR(N(Financial!$F$5),0)+ROW()/100000</f>
        <v>60.000169999999997</v>
      </c>
    </row>
    <row r="18" spans="1:16" ht="18" customHeight="1">
      <c r="A18" s="8" t="s">
        <v>1541</v>
      </c>
      <c r="B18" s="8" t="s">
        <v>1502</v>
      </c>
      <c r="C18" s="8" t="s">
        <v>1542</v>
      </c>
      <c r="D18" s="8" t="s">
        <v>127</v>
      </c>
      <c r="E18" s="2" t="s">
        <v>1543</v>
      </c>
      <c r="F18" s="3">
        <f ca="1">SUM(OFFSET(SharedData!$E$6,2,0,5,1))</f>
        <v>250</v>
      </c>
      <c r="G18" s="8"/>
      <c r="H18" s="8"/>
      <c r="I18" s="8"/>
      <c r="J18" s="8"/>
      <c r="K18" s="8"/>
      <c r="L18" s="8"/>
      <c r="M18" s="6" t="s">
        <v>129</v>
      </c>
      <c r="N18" s="8"/>
      <c r="O18" s="9" t="s">
        <v>130</v>
      </c>
      <c r="P18" s="8"/>
    </row>
    <row r="19" spans="1:16" ht="18" customHeight="1">
      <c r="A19" s="8" t="s">
        <v>1544</v>
      </c>
      <c r="B19" s="8" t="s">
        <v>1502</v>
      </c>
      <c r="C19" s="8" t="s">
        <v>1545</v>
      </c>
      <c r="D19" s="8" t="s">
        <v>127</v>
      </c>
      <c r="E19" s="2" t="s">
        <v>1546</v>
      </c>
      <c r="F19" s="3">
        <f>ROW(SharedData!$E$12)</f>
        <v>12</v>
      </c>
      <c r="G19" s="8"/>
      <c r="H19" s="8"/>
      <c r="I19" s="8"/>
      <c r="J19" s="8"/>
      <c r="K19" s="8"/>
      <c r="L19" s="8"/>
      <c r="M19" s="6" t="s">
        <v>129</v>
      </c>
      <c r="N19" s="8"/>
      <c r="O19" s="9" t="s">
        <v>130</v>
      </c>
      <c r="P19" s="8"/>
    </row>
    <row r="20" spans="1:16" ht="18" customHeight="1">
      <c r="A20" s="8" t="s">
        <v>1547</v>
      </c>
      <c r="B20" s="8" t="s">
        <v>1502</v>
      </c>
      <c r="C20" s="8" t="s">
        <v>1548</v>
      </c>
      <c r="D20" s="8" t="s">
        <v>127</v>
      </c>
      <c r="E20" s="2" t="s">
        <v>1549</v>
      </c>
      <c r="F20" s="3">
        <f>ROWS(SharedData!$E$6:$E$25)</f>
        <v>20</v>
      </c>
      <c r="G20" s="8"/>
      <c r="H20" s="8"/>
      <c r="I20" s="8"/>
      <c r="J20" s="8"/>
      <c r="K20" s="8"/>
      <c r="L20" s="8"/>
      <c r="M20" s="6" t="s">
        <v>129</v>
      </c>
      <c r="N20" s="8"/>
      <c r="O20" s="9" t="s">
        <v>130</v>
      </c>
      <c r="P20" s="8"/>
    </row>
    <row r="21" spans="1:16" ht="18" customHeight="1">
      <c r="A21" s="8" t="s">
        <v>1550</v>
      </c>
      <c r="B21" s="8" t="s">
        <v>1502</v>
      </c>
      <c r="C21" s="8" t="s">
        <v>1551</v>
      </c>
      <c r="D21" s="8" t="s">
        <v>127</v>
      </c>
      <c r="E21" s="2" t="s">
        <v>1552</v>
      </c>
      <c r="F21" s="3">
        <f ca="1">_xlfn.SHEET(Financial!$A$1)</f>
        <v>8</v>
      </c>
      <c r="G21" s="8"/>
      <c r="H21" s="8"/>
      <c r="I21" s="8"/>
      <c r="J21" s="8"/>
      <c r="K21" s="8"/>
      <c r="L21" s="8"/>
      <c r="M21" s="6" t="s">
        <v>129</v>
      </c>
      <c r="N21" s="3" t="str">
        <f ca="1">IF(ISERROR(F21),"ERROR "&amp;IFERROR(ERROR.TYPE(F21),""),"OK")</f>
        <v>OK</v>
      </c>
      <c r="O21" s="9" t="s">
        <v>130</v>
      </c>
      <c r="P21" s="8"/>
    </row>
    <row r="22" spans="1:16" ht="18" customHeight="1">
      <c r="A22" s="8" t="s">
        <v>1553</v>
      </c>
      <c r="B22" s="8" t="s">
        <v>1502</v>
      </c>
      <c r="C22" s="8" t="s">
        <v>1554</v>
      </c>
      <c r="D22" s="8" t="s">
        <v>127</v>
      </c>
      <c r="E22" s="2" t="s">
        <v>1555</v>
      </c>
      <c r="F22" s="3">
        <f ca="1">_xlfn.SHEETS(Arithmetic:Unsupported!$A$1)</f>
        <v>10</v>
      </c>
      <c r="G22" s="8"/>
      <c r="H22" s="8"/>
      <c r="I22" s="8"/>
      <c r="J22" s="8"/>
      <c r="K22" s="8"/>
      <c r="L22" s="8"/>
      <c r="M22" s="6" t="s">
        <v>129</v>
      </c>
      <c r="N22" s="8"/>
      <c r="O22" s="9" t="s">
        <v>130</v>
      </c>
      <c r="P22" s="8"/>
    </row>
    <row r="23" spans="1:16" ht="18" customHeight="1">
      <c r="A23" s="8" t="s">
        <v>1556</v>
      </c>
      <c r="B23" s="8" t="s">
        <v>1502</v>
      </c>
      <c r="C23" s="8" t="s">
        <v>1557</v>
      </c>
      <c r="D23" s="8" t="s">
        <v>127</v>
      </c>
      <c r="E23" s="2" t="s">
        <v>1558</v>
      </c>
      <c r="F23" s="3">
        <f>VLOOKUP("K010",SharedData!$B$6:$E$25,4,FALSE)</f>
        <v>100</v>
      </c>
      <c r="G23" s="8"/>
      <c r="H23" s="8"/>
      <c r="I23" s="8"/>
      <c r="J23" s="8"/>
      <c r="K23" s="8"/>
      <c r="L23" s="8"/>
      <c r="M23" s="6" t="s">
        <v>129</v>
      </c>
      <c r="N23" s="8"/>
      <c r="O23" s="9" t="s">
        <v>130</v>
      </c>
      <c r="P23" s="8"/>
    </row>
    <row r="24" spans="1:16" ht="18" customHeight="1">
      <c r="A24" s="8" t="s">
        <v>1559</v>
      </c>
      <c r="B24" s="8" t="s">
        <v>1502</v>
      </c>
      <c r="C24" s="8" t="s">
        <v>1560</v>
      </c>
      <c r="D24" s="8" t="s">
        <v>127</v>
      </c>
      <c r="E24" s="2" t="s">
        <v>1561</v>
      </c>
      <c r="F24" s="3">
        <f>_xlfn.XLOOKUP("K010",SharedData!$B$6:$B$25,SharedData!$E$6:$E$25,"missing",0,1)</f>
        <v>100</v>
      </c>
      <c r="G24" s="8"/>
      <c r="H24" s="8"/>
      <c r="I24" s="8"/>
      <c r="J24" s="8"/>
      <c r="K24" s="8"/>
      <c r="L24" s="8"/>
      <c r="M24" s="6" t="s">
        <v>129</v>
      </c>
      <c r="N24" s="8"/>
      <c r="O24" s="9" t="s">
        <v>130</v>
      </c>
      <c r="P24" s="8"/>
    </row>
    <row r="25" spans="1:16" ht="18" customHeight="1">
      <c r="A25" s="8" t="s">
        <v>1562</v>
      </c>
      <c r="B25" s="8" t="s">
        <v>1502</v>
      </c>
      <c r="C25" s="8" t="s">
        <v>1563</v>
      </c>
      <c r="D25" s="8" t="s">
        <v>127</v>
      </c>
      <c r="E25" s="2" t="s">
        <v>1564</v>
      </c>
      <c r="F25" s="3">
        <f>_xlfn.XMATCH("K010",SharedData!$B$6:$B$25,0,1)</f>
        <v>10</v>
      </c>
      <c r="G25" s="8"/>
      <c r="H25" s="8"/>
      <c r="I25" s="8"/>
      <c r="J25" s="8"/>
      <c r="K25" s="8"/>
      <c r="L25" s="8"/>
      <c r="M25" s="6" t="s">
        <v>129</v>
      </c>
      <c r="N25" s="8"/>
      <c r="O25" s="9" t="s">
        <v>130</v>
      </c>
      <c r="P25" s="8"/>
    </row>
    <row r="26" spans="1:16" ht="18" customHeight="1">
      <c r="A26" s="8" t="s">
        <v>1565</v>
      </c>
      <c r="B26" s="8" t="s">
        <v>537</v>
      </c>
      <c r="C26" s="8" t="s">
        <v>538</v>
      </c>
      <c r="D26" s="8" t="s">
        <v>539</v>
      </c>
      <c r="E26" s="2" t="s">
        <v>1566</v>
      </c>
      <c r="F26" s="3">
        <f>_xlfn.XLOOKUP("K010",SharedData!$B$6:$B$25,SharedData!$E$6:$F$25,"missing",0,1)</f>
        <v>3</v>
      </c>
      <c r="G26" s="8"/>
      <c r="H26" s="8"/>
      <c r="I26" s="8"/>
      <c r="J26" s="8"/>
      <c r="K26" s="8"/>
      <c r="L26" s="8"/>
      <c r="M26" s="6" t="s">
        <v>129</v>
      </c>
      <c r="N26" s="8"/>
      <c r="O26" s="9" t="s">
        <v>541</v>
      </c>
      <c r="P26" s="8"/>
    </row>
    <row r="27" spans="1:16" ht="18" customHeight="1">
      <c r="A27" s="8" t="s">
        <v>1567</v>
      </c>
      <c r="B27" s="8" t="s">
        <v>537</v>
      </c>
      <c r="C27" s="8" t="s">
        <v>538</v>
      </c>
      <c r="D27" s="8" t="s">
        <v>539</v>
      </c>
      <c r="E27" s="2" t="s">
        <v>1568</v>
      </c>
      <c r="F27" s="3">
        <f>INDEX(SharedData!$E$6:$E$25,_xlfn.XMATCH(MAX(SharedData!$E$6:$E$25),SharedData!$E$6:$E$25,0))</f>
        <v>200</v>
      </c>
      <c r="G27" s="8"/>
      <c r="H27" s="8"/>
      <c r="I27" s="8"/>
      <c r="J27" s="8"/>
      <c r="K27" s="8"/>
      <c r="L27" s="8"/>
      <c r="M27" s="6" t="s">
        <v>129</v>
      </c>
      <c r="N27" s="8"/>
      <c r="O27" s="9" t="s">
        <v>541</v>
      </c>
      <c r="P27" s="8"/>
    </row>
    <row r="28" spans="1:16" ht="18" customHeight="1">
      <c r="A28" s="8" t="s">
        <v>1569</v>
      </c>
      <c r="B28" s="8" t="s">
        <v>537</v>
      </c>
      <c r="C28" s="8" t="s">
        <v>538</v>
      </c>
      <c r="D28" s="8" t="s">
        <v>539</v>
      </c>
      <c r="E28" s="2" t="s">
        <v>1570</v>
      </c>
      <c r="F28" s="3">
        <f>VLOOKUP("K010",SharedData!$B$6:$F$25,4,FALSE)</f>
        <v>100</v>
      </c>
      <c r="G28" s="8"/>
      <c r="H28" s="8"/>
      <c r="I28" s="8"/>
      <c r="J28" s="8"/>
      <c r="K28" s="8"/>
      <c r="L28" s="8"/>
      <c r="M28" s="6" t="s">
        <v>129</v>
      </c>
      <c r="N28" s="8"/>
      <c r="O28" s="9" t="s">
        <v>541</v>
      </c>
      <c r="P28" s="8"/>
    </row>
    <row r="29" spans="1:16" ht="18" customHeight="1">
      <c r="A29" s="8" t="s">
        <v>1571</v>
      </c>
      <c r="B29" s="8" t="s">
        <v>537</v>
      </c>
      <c r="C29" s="8" t="s">
        <v>538</v>
      </c>
      <c r="D29" s="8" t="s">
        <v>539</v>
      </c>
      <c r="E29" s="2" t="s">
        <v>1572</v>
      </c>
      <c r="F29" s="3">
        <f>VLOOKUP(75,SharedData!$E$6:$F$25,2,TRUE)</f>
        <v>7</v>
      </c>
      <c r="G29" s="8"/>
      <c r="H29" s="8"/>
      <c r="I29" s="8"/>
      <c r="J29" s="8"/>
      <c r="K29" s="8"/>
      <c r="L29" s="8"/>
      <c r="M29" s="6" t="s">
        <v>129</v>
      </c>
      <c r="N29" s="3" t="str">
        <f>IF(ISERROR(F29),"ERROR "&amp;IFERROR(ERROR.TYPE(F29),""),"OK")</f>
        <v>OK</v>
      </c>
      <c r="O29" s="9" t="s">
        <v>541</v>
      </c>
      <c r="P29" s="3">
        <f>IFERROR(N(F29),0)+IFERROR(N(Financial!$F$17),0)+ROW()/100000</f>
        <v>3016.1952900000001</v>
      </c>
    </row>
    <row r="30" spans="1:16" ht="18" customHeight="1">
      <c r="A30" s="8" t="s">
        <v>1573</v>
      </c>
      <c r="B30" s="8" t="s">
        <v>537</v>
      </c>
      <c r="C30" s="8" t="s">
        <v>538</v>
      </c>
      <c r="D30" s="8" t="s">
        <v>539</v>
      </c>
      <c r="E30" s="2" t="s">
        <v>1574</v>
      </c>
      <c r="F30" s="3">
        <f>MATCH(75,SharedData!$E$6:$E$25,1)</f>
        <v>7</v>
      </c>
      <c r="G30" s="8"/>
      <c r="H30" s="8"/>
      <c r="I30" s="8"/>
      <c r="J30" s="8"/>
      <c r="K30" s="8"/>
      <c r="L30" s="8"/>
      <c r="M30" s="6" t="s">
        <v>129</v>
      </c>
      <c r="N30" s="8"/>
      <c r="O30" s="9" t="s">
        <v>541</v>
      </c>
      <c r="P30" s="8"/>
    </row>
    <row r="31" spans="1:16" ht="18" customHeight="1">
      <c r="A31" s="8" t="s">
        <v>1575</v>
      </c>
      <c r="B31" s="8" t="s">
        <v>537</v>
      </c>
      <c r="C31" s="8" t="s">
        <v>538</v>
      </c>
      <c r="D31" s="8" t="s">
        <v>539</v>
      </c>
      <c r="E31" s="2" t="s">
        <v>1576</v>
      </c>
      <c r="F31" s="3" t="e">
        <f>MATCH(75,SharedData!$E$6:$E$25,-1)</f>
        <v>#N/A</v>
      </c>
      <c r="G31" s="8"/>
      <c r="H31" s="8"/>
      <c r="I31" s="8"/>
      <c r="J31" s="8"/>
      <c r="K31" s="8"/>
      <c r="L31" s="8"/>
      <c r="M31" s="6" t="s">
        <v>129</v>
      </c>
      <c r="N31" s="8"/>
      <c r="O31" s="9" t="s">
        <v>541</v>
      </c>
      <c r="P31" s="8"/>
    </row>
    <row r="32" spans="1:16" ht="18" customHeight="1">
      <c r="A32" s="8" t="s">
        <v>1577</v>
      </c>
      <c r="B32" s="8" t="s">
        <v>537</v>
      </c>
      <c r="C32" s="8" t="s">
        <v>538</v>
      </c>
      <c r="D32" s="8" t="s">
        <v>539</v>
      </c>
      <c r="E32" s="2" t="s">
        <v>1578</v>
      </c>
      <c r="F32" s="3">
        <f>HLOOKUP("Amount",SharedData!$A$5:$F$25,5,FALSE)</f>
        <v>40</v>
      </c>
      <c r="G32" s="8"/>
      <c r="H32" s="8"/>
      <c r="I32" s="8"/>
      <c r="J32" s="8"/>
      <c r="K32" s="8"/>
      <c r="L32" s="8"/>
      <c r="M32" s="6" t="s">
        <v>129</v>
      </c>
      <c r="N32" s="8"/>
      <c r="O32" s="9" t="s">
        <v>541</v>
      </c>
      <c r="P32" s="8"/>
    </row>
    <row r="33" spans="1:15" ht="18" customHeight="1">
      <c r="A33" s="8" t="s">
        <v>1579</v>
      </c>
      <c r="B33" s="8" t="s">
        <v>537</v>
      </c>
      <c r="C33" s="8" t="s">
        <v>538</v>
      </c>
      <c r="D33" s="8" t="s">
        <v>539</v>
      </c>
      <c r="E33" s="2" t="s">
        <v>1580</v>
      </c>
      <c r="F33" s="3">
        <f>INDEX(SharedData!$A$6:$F$25,MATCH("K010",SharedData!$B$6:$B$25,0),MATCH("Amount",SharedData!$A$5:$F$5,0))</f>
        <v>100</v>
      </c>
      <c r="G33" s="8"/>
      <c r="H33" s="8"/>
      <c r="I33" s="8"/>
      <c r="J33" s="8"/>
      <c r="K33" s="8"/>
      <c r="L33" s="8"/>
      <c r="M33" s="6" t="s">
        <v>129</v>
      </c>
      <c r="N33" s="8"/>
      <c r="O33" s="9" t="s">
        <v>541</v>
      </c>
    </row>
    <row r="34" spans="1:15" ht="18" customHeight="1">
      <c r="A34" s="8" t="s">
        <v>1581</v>
      </c>
      <c r="B34" s="8" t="s">
        <v>537</v>
      </c>
      <c r="C34" s="8" t="s">
        <v>538</v>
      </c>
      <c r="D34" s="8" t="s">
        <v>539</v>
      </c>
      <c r="E34" s="2" t="s">
        <v>1582</v>
      </c>
      <c r="F34" s="3">
        <f ca="1">SUM(OFFSET(SharedData!$E$6,MATCH("K010",SharedData!$B$6:$B$25,0)-1,0,3,1))</f>
        <v>330</v>
      </c>
      <c r="G34" s="8"/>
      <c r="H34" s="8"/>
      <c r="I34" s="8"/>
      <c r="J34" s="8"/>
      <c r="K34" s="8"/>
      <c r="L34" s="8"/>
      <c r="M34" s="6" t="s">
        <v>129</v>
      </c>
      <c r="N34" s="8"/>
      <c r="O34" s="9" t="s">
        <v>541</v>
      </c>
    </row>
    <row r="35" spans="1:15" ht="18" customHeight="1">
      <c r="A35" s="8" t="s">
        <v>1583</v>
      </c>
      <c r="B35" s="8" t="s">
        <v>537</v>
      </c>
      <c r="C35" s="8" t="s">
        <v>538</v>
      </c>
      <c r="D35" s="8" t="s">
        <v>539</v>
      </c>
      <c r="E35" s="2" t="s">
        <v>1584</v>
      </c>
      <c r="F35" s="3">
        <f ca="1">INDIRECT(ADDRESS(MATCH("K010",SharedData!$B$1:$B$25,0),5,1,TRUE,"SharedData"))</f>
        <v>100</v>
      </c>
      <c r="G35" s="8"/>
      <c r="H35" s="8"/>
      <c r="I35" s="8"/>
      <c r="J35" s="8"/>
      <c r="K35" s="8"/>
      <c r="L35" s="8"/>
      <c r="M35" s="6" t="s">
        <v>129</v>
      </c>
      <c r="N35" s="8"/>
      <c r="O35" s="9" t="s">
        <v>541</v>
      </c>
    </row>
    <row r="36" spans="1:15" ht="18" customHeight="1">
      <c r="A36" s="8" t="s">
        <v>1585</v>
      </c>
      <c r="B36" s="8" t="s">
        <v>537</v>
      </c>
      <c r="C36" s="8" t="s">
        <v>538</v>
      </c>
      <c r="D36" s="8" t="s">
        <v>539</v>
      </c>
      <c r="E36" s="2" t="s">
        <v>1586</v>
      </c>
      <c r="F36" s="3" t="str">
        <f>_xlfn.XLOOKUP(74,SharedData!$E$6:$E$25,SharedData!$B$6:$B$25,"none",-1,2)</f>
        <v>K007</v>
      </c>
      <c r="G36" s="8"/>
      <c r="H36" s="8"/>
      <c r="I36" s="8"/>
      <c r="J36" s="8"/>
      <c r="K36" s="8"/>
      <c r="L36" s="8"/>
      <c r="M36" s="6" t="s">
        <v>129</v>
      </c>
      <c r="N36" s="8"/>
      <c r="O36" s="9" t="s">
        <v>541</v>
      </c>
    </row>
    <row r="37" spans="1:15" ht="18" customHeight="1">
      <c r="A37" s="8" t="s">
        <v>1587</v>
      </c>
      <c r="B37" s="8" t="s">
        <v>537</v>
      </c>
      <c r="C37" s="8" t="s">
        <v>538</v>
      </c>
      <c r="D37" s="8" t="s">
        <v>539</v>
      </c>
      <c r="E37" s="2" t="s">
        <v>1588</v>
      </c>
      <c r="F37" s="3">
        <f>SUM(DataTable[Amount])</f>
        <v>2100</v>
      </c>
      <c r="G37" s="8"/>
      <c r="H37" s="8"/>
      <c r="I37" s="8"/>
      <c r="J37" s="8"/>
      <c r="K37" s="8"/>
      <c r="L37" s="8"/>
      <c r="M37" s="6" t="s">
        <v>129</v>
      </c>
      <c r="N37" s="3" t="str">
        <f>IF(ISERROR(F37),"ERROR "&amp;IFERROR(ERROR.TYPE(F37),""),"OK")</f>
        <v>OK</v>
      </c>
      <c r="O37" s="9" t="s">
        <v>541</v>
      </c>
    </row>
    <row r="38" spans="1:15" ht="18" customHeight="1">
      <c r="A38" s="8" t="s">
        <v>1589</v>
      </c>
      <c r="B38" s="8" t="s">
        <v>537</v>
      </c>
      <c r="C38" s="8" t="s">
        <v>538</v>
      </c>
      <c r="D38" s="8" t="s">
        <v>539</v>
      </c>
      <c r="E38" s="2" t="s">
        <v>1590</v>
      </c>
      <c r="F38" s="3">
        <f>_xlfn.XLOOKUP("K010",DataTable[Key],DataTable[Amount],"missing")</f>
        <v>100</v>
      </c>
      <c r="G38" s="8"/>
      <c r="H38" s="8"/>
      <c r="I38" s="8"/>
      <c r="J38" s="8"/>
      <c r="K38" s="8"/>
      <c r="L38" s="8"/>
      <c r="M38" s="6" t="s">
        <v>129</v>
      </c>
      <c r="N38" s="8"/>
      <c r="O38" s="9" t="s">
        <v>541</v>
      </c>
    </row>
  </sheetData>
  <autoFilter ref="A4:P38" xr:uid="{00000000-0009-0000-0000-000008000000}"/>
  <mergeCells count="2">
    <mergeCell ref="A1:P1"/>
    <mergeCell ref="A2:P2"/>
  </mergeCells>
  <conditionalFormatting sqref="F5:F38">
    <cfRule type="containsErrors" dxfId="3" priority="1"/>
  </conditionalFormatting>
  <pageMargins left="0.3" right="0.3" top="0.5" bottom="0.5" header="0.2" footer="0.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90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1591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COUNTA(A5:A90)</f>
        <v>86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COUNTA(A5:A90)</f>
        <v>86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COUNTA(A5:A90)-COUNTIF(M5:M90,"excluded")</f>
        <v>86</v>
      </c>
    </row>
    <row r="5" spans="1:19" ht="18" customHeight="1">
      <c r="A5" s="8" t="s">
        <v>1592</v>
      </c>
      <c r="B5" s="8" t="s">
        <v>1593</v>
      </c>
      <c r="C5" s="8" t="s">
        <v>1594</v>
      </c>
      <c r="D5" s="8" t="s">
        <v>127</v>
      </c>
      <c r="E5" s="2" t="s">
        <v>1595</v>
      </c>
      <c r="F5" s="3" t="str">
        <f>_xlfn.ARRAYTOTEXT(SharedData!$A$6:$C$8,1)</f>
        <v>{0.1,"K001","A";0.2,"K002","B";-0.3,"K003","C"}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130</v>
      </c>
      <c r="P5" s="3">
        <f>IFERROR(N(F5),0)+IFERROR(N(Lookup!$F$5),0)+ROW()/100000</f>
        <v>5.0000000000000002E-5</v>
      </c>
      <c r="Q5" s="8"/>
      <c r="R5" s="8"/>
      <c r="S5" s="8"/>
    </row>
    <row r="6" spans="1:19" ht="18" customHeight="1">
      <c r="A6" s="8" t="s">
        <v>1596</v>
      </c>
      <c r="B6" s="8" t="s">
        <v>1593</v>
      </c>
      <c r="C6" s="8" t="s">
        <v>1597</v>
      </c>
      <c r="D6" s="8" t="s">
        <v>127</v>
      </c>
      <c r="E6" s="2" t="s">
        <v>1598</v>
      </c>
      <c r="F6" s="3" t="str">
        <f>ASC("ＡＢＣ１２３")</f>
        <v>ABC123</v>
      </c>
      <c r="G6" s="8"/>
      <c r="H6" s="8"/>
      <c r="I6" s="8"/>
      <c r="J6" s="8"/>
      <c r="K6" s="8"/>
      <c r="L6" s="8"/>
      <c r="M6" s="6" t="s">
        <v>129</v>
      </c>
      <c r="N6" s="8"/>
      <c r="O6" s="9" t="s">
        <v>130</v>
      </c>
      <c r="P6" s="8"/>
      <c r="Q6" s="8"/>
      <c r="R6" s="8"/>
      <c r="S6" s="8"/>
    </row>
    <row r="7" spans="1:19" ht="18" customHeight="1">
      <c r="A7" s="8" t="s">
        <v>1599</v>
      </c>
      <c r="B7" s="8" t="s">
        <v>1593</v>
      </c>
      <c r="C7" s="8" t="s">
        <v>1600</v>
      </c>
      <c r="D7" s="8" t="s">
        <v>127</v>
      </c>
      <c r="E7" s="2" t="s">
        <v>1601</v>
      </c>
      <c r="F7" s="3" t="str">
        <f>BAHTTEXT(1234.5)</f>
        <v>หนึ่งพันสองร้อยสามสิบสี่บาทห้าสิบสตางค์</v>
      </c>
      <c r="G7" s="8"/>
      <c r="H7" s="8"/>
      <c r="I7" s="8"/>
      <c r="J7" s="8"/>
      <c r="K7" s="8"/>
      <c r="L7" s="8"/>
      <c r="M7" s="6" t="s">
        <v>129</v>
      </c>
      <c r="N7" s="8"/>
      <c r="O7" s="9" t="s">
        <v>130</v>
      </c>
      <c r="P7" s="8"/>
      <c r="Q7" s="8"/>
      <c r="R7" s="8"/>
      <c r="S7" s="8"/>
    </row>
    <row r="8" spans="1:19" ht="18" customHeight="1">
      <c r="A8" s="8" t="s">
        <v>1602</v>
      </c>
      <c r="B8" s="8" t="s">
        <v>1593</v>
      </c>
      <c r="C8" s="8" t="s">
        <v>1603</v>
      </c>
      <c r="D8" s="8" t="s">
        <v>127</v>
      </c>
      <c r="E8" s="2" t="s">
        <v>1604</v>
      </c>
      <c r="F8" s="3" t="str">
        <f>CHAR(65)</f>
        <v>A</v>
      </c>
      <c r="G8" s="8"/>
      <c r="H8" s="8"/>
      <c r="I8" s="8"/>
      <c r="J8" s="8"/>
      <c r="K8" s="8"/>
      <c r="L8" s="8"/>
      <c r="M8" s="6" t="s">
        <v>129</v>
      </c>
      <c r="N8" s="8"/>
      <c r="O8" s="9" t="s">
        <v>130</v>
      </c>
      <c r="P8" s="8"/>
      <c r="Q8" s="8"/>
      <c r="R8" s="8"/>
      <c r="S8" s="8"/>
    </row>
    <row r="9" spans="1:19" ht="18" customHeight="1">
      <c r="A9" s="8" t="s">
        <v>1605</v>
      </c>
      <c r="B9" s="8" t="s">
        <v>1593</v>
      </c>
      <c r="C9" s="8" t="s">
        <v>1606</v>
      </c>
      <c r="D9" s="8" t="s">
        <v>127</v>
      </c>
      <c r="E9" s="2" t="s">
        <v>1607</v>
      </c>
      <c r="F9" s="3" t="str">
        <f>CLEAN("Cell"&amp;CHAR(9)&amp;"Rune")</f>
        <v>CellRune</v>
      </c>
      <c r="G9" s="8"/>
      <c r="H9" s="8"/>
      <c r="I9" s="8"/>
      <c r="J9" s="8"/>
      <c r="K9" s="8"/>
      <c r="L9" s="8"/>
      <c r="M9" s="6" t="s">
        <v>129</v>
      </c>
      <c r="N9" s="8"/>
      <c r="O9" s="9" t="s">
        <v>130</v>
      </c>
      <c r="P9" s="8"/>
      <c r="Q9" s="8"/>
      <c r="R9" s="8"/>
      <c r="S9" s="8"/>
    </row>
    <row r="10" spans="1:19" ht="18" customHeight="1">
      <c r="A10" s="8" t="s">
        <v>1608</v>
      </c>
      <c r="B10" s="8" t="s">
        <v>1593</v>
      </c>
      <c r="C10" s="8" t="s">
        <v>1609</v>
      </c>
      <c r="D10" s="8" t="s">
        <v>127</v>
      </c>
      <c r="E10" s="2" t="s">
        <v>1610</v>
      </c>
      <c r="F10" s="3">
        <f>CODE("A")</f>
        <v>65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130</v>
      </c>
      <c r="P10" s="8"/>
      <c r="Q10" s="8"/>
      <c r="R10" s="8"/>
      <c r="S10" s="8"/>
    </row>
    <row r="11" spans="1:19" ht="18" customHeight="1">
      <c r="A11" s="8" t="s">
        <v>1611</v>
      </c>
      <c r="B11" s="8" t="s">
        <v>1593</v>
      </c>
      <c r="C11" s="8" t="s">
        <v>1612</v>
      </c>
      <c r="D11" s="8" t="s">
        <v>127</v>
      </c>
      <c r="E11" s="2" t="s">
        <v>1613</v>
      </c>
      <c r="F11" s="3" t="str">
        <f>_xlfn.CONCAT(SharedData!$B$6:$B$10)</f>
        <v>K001K002K003K004K005</v>
      </c>
      <c r="G11" s="8"/>
      <c r="H11" s="8"/>
      <c r="I11" s="8"/>
      <c r="J11" s="8"/>
      <c r="K11" s="8"/>
      <c r="L11" s="8"/>
      <c r="M11" s="6" t="s">
        <v>129</v>
      </c>
      <c r="N11" s="8"/>
      <c r="O11" s="9" t="s">
        <v>130</v>
      </c>
      <c r="P11" s="8"/>
      <c r="Q11" s="8"/>
      <c r="R11" s="8"/>
      <c r="S11" s="8"/>
    </row>
    <row r="12" spans="1:19" ht="18" customHeight="1">
      <c r="A12" s="8" t="s">
        <v>1614</v>
      </c>
      <c r="B12" s="8" t="s">
        <v>1593</v>
      </c>
      <c r="C12" s="8" t="s">
        <v>1615</v>
      </c>
      <c r="D12" s="8" t="s">
        <v>127</v>
      </c>
      <c r="E12" s="2" t="s">
        <v>1616</v>
      </c>
      <c r="F12" s="3" t="str">
        <f>CONCATENATE(SharedData!$B$6,"-",SharedData!$B$7)</f>
        <v>K001-K002</v>
      </c>
      <c r="G12" s="8"/>
      <c r="H12" s="8"/>
      <c r="I12" s="8"/>
      <c r="J12" s="8"/>
      <c r="K12" s="8"/>
      <c r="L12" s="8"/>
      <c r="M12" s="6" t="s">
        <v>129</v>
      </c>
      <c r="N12" s="8"/>
      <c r="O12" s="9" t="s">
        <v>130</v>
      </c>
      <c r="P12" s="8"/>
      <c r="Q12" s="8"/>
      <c r="R12" s="8"/>
      <c r="S12" s="8"/>
    </row>
    <row r="13" spans="1:19" ht="18" customHeight="1">
      <c r="A13" s="8" t="s">
        <v>1617</v>
      </c>
      <c r="B13" s="8" t="s">
        <v>1618</v>
      </c>
      <c r="C13" s="8" t="s">
        <v>1619</v>
      </c>
      <c r="D13" s="8" t="s">
        <v>127</v>
      </c>
      <c r="E13" s="2" t="s">
        <v>1620</v>
      </c>
      <c r="F13" s="3">
        <f>DATE(2024,2,29)</f>
        <v>45351</v>
      </c>
      <c r="G13" s="8"/>
      <c r="H13" s="8"/>
      <c r="I13" s="8"/>
      <c r="J13" s="8"/>
      <c r="K13" s="8"/>
      <c r="L13" s="8"/>
      <c r="M13" s="6" t="s">
        <v>129</v>
      </c>
      <c r="N13" s="3" t="str">
        <f>IF(ISERROR(F13),"ERROR "&amp;IFERROR(ERROR.TYPE(F13),""),"OK")</f>
        <v>OK</v>
      </c>
      <c r="O13" s="9" t="s">
        <v>130</v>
      </c>
      <c r="P13" s="8"/>
      <c r="Q13" s="8"/>
      <c r="R13" s="8"/>
      <c r="S13" s="8"/>
    </row>
    <row r="14" spans="1:19" ht="18" customHeight="1">
      <c r="A14" s="8" t="s">
        <v>1621</v>
      </c>
      <c r="B14" s="8" t="s">
        <v>1618</v>
      </c>
      <c r="C14" s="8" t="s">
        <v>1622</v>
      </c>
      <c r="D14" s="8" t="s">
        <v>127</v>
      </c>
      <c r="E14" s="2" t="s">
        <v>1623</v>
      </c>
      <c r="F14" s="3">
        <f>DATEDIF(DATE(2020,1,15),DATE(2026,7,27),"ym")</f>
        <v>6</v>
      </c>
      <c r="G14" s="8"/>
      <c r="H14" s="8"/>
      <c r="I14" s="8"/>
      <c r="J14" s="8"/>
      <c r="K14" s="8"/>
      <c r="L14" s="8"/>
      <c r="M14" s="6" t="s">
        <v>129</v>
      </c>
      <c r="N14" s="8"/>
      <c r="O14" s="9" t="s">
        <v>130</v>
      </c>
      <c r="P14" s="8"/>
      <c r="Q14" s="8"/>
      <c r="R14" s="8"/>
      <c r="S14" s="8"/>
    </row>
    <row r="15" spans="1:19" ht="18" customHeight="1">
      <c r="A15" s="8" t="s">
        <v>1624</v>
      </c>
      <c r="B15" s="8" t="s">
        <v>1618</v>
      </c>
      <c r="C15" s="8" t="s">
        <v>1625</v>
      </c>
      <c r="D15" s="8" t="s">
        <v>127</v>
      </c>
      <c r="E15" s="2" t="s">
        <v>1626</v>
      </c>
      <c r="F15" s="3">
        <f>DATEVALUE("2024-02-29")</f>
        <v>45351</v>
      </c>
      <c r="G15" s="8"/>
      <c r="H15" s="8"/>
      <c r="I15" s="8"/>
      <c r="J15" s="8"/>
      <c r="K15" s="8"/>
      <c r="L15" s="8"/>
      <c r="M15" s="6" t="s">
        <v>129</v>
      </c>
      <c r="N15" s="8"/>
      <c r="O15" s="9" t="s">
        <v>130</v>
      </c>
      <c r="P15" s="8"/>
      <c r="Q15" s="8"/>
      <c r="R15" s="8"/>
      <c r="S15" s="8"/>
    </row>
    <row r="16" spans="1:19" ht="18" customHeight="1">
      <c r="A16" s="8" t="s">
        <v>1627</v>
      </c>
      <c r="B16" s="8" t="s">
        <v>1618</v>
      </c>
      <c r="C16" s="8" t="s">
        <v>1628</v>
      </c>
      <c r="D16" s="8" t="s">
        <v>127</v>
      </c>
      <c r="E16" s="2" t="s">
        <v>1629</v>
      </c>
      <c r="F16" s="3">
        <f>DAY(SharedData!$D$6)</f>
        <v>1</v>
      </c>
      <c r="G16" s="8"/>
      <c r="H16" s="8"/>
      <c r="I16" s="8"/>
      <c r="J16" s="8"/>
      <c r="K16" s="8"/>
      <c r="L16" s="8"/>
      <c r="M16" s="6" t="s">
        <v>129</v>
      </c>
      <c r="N16" s="8"/>
      <c r="O16" s="9" t="s">
        <v>130</v>
      </c>
      <c r="P16" s="8"/>
      <c r="Q16" s="8"/>
      <c r="R16" s="8"/>
      <c r="S16" s="8"/>
    </row>
    <row r="17" spans="1:16" ht="18" customHeight="1">
      <c r="A17" s="8" t="s">
        <v>1630</v>
      </c>
      <c r="B17" s="8" t="s">
        <v>1618</v>
      </c>
      <c r="C17" s="8" t="s">
        <v>1631</v>
      </c>
      <c r="D17" s="8" t="s">
        <v>127</v>
      </c>
      <c r="E17" s="2" t="s">
        <v>1632</v>
      </c>
      <c r="F17" s="3">
        <f>_xlfn.DAYS(SharedData!$D$25,SharedData!$D$6)</f>
        <v>589</v>
      </c>
      <c r="G17" s="8"/>
      <c r="H17" s="8"/>
      <c r="I17" s="8"/>
      <c r="J17" s="8"/>
      <c r="K17" s="8"/>
      <c r="L17" s="8"/>
      <c r="M17" s="6" t="s">
        <v>129</v>
      </c>
      <c r="N17" s="8"/>
      <c r="O17" s="9" t="s">
        <v>130</v>
      </c>
      <c r="P17" s="3">
        <f>IFERROR(N(F17),0)+IFERROR(N(Lookup!$F$5),0)+ROW()/100000</f>
        <v>589.00017000000003</v>
      </c>
    </row>
    <row r="18" spans="1:16" ht="18" customHeight="1">
      <c r="A18" s="8" t="s">
        <v>1633</v>
      </c>
      <c r="B18" s="8" t="s">
        <v>1618</v>
      </c>
      <c r="C18" s="8" t="s">
        <v>1634</v>
      </c>
      <c r="D18" s="8" t="s">
        <v>127</v>
      </c>
      <c r="E18" s="2" t="s">
        <v>1635</v>
      </c>
      <c r="F18" s="3">
        <f>DAYS360(SharedData!$D$6,SharedData!$D$25,FALSE)</f>
        <v>581</v>
      </c>
      <c r="G18" s="8"/>
      <c r="H18" s="8"/>
      <c r="I18" s="8"/>
      <c r="J18" s="8"/>
      <c r="K18" s="8"/>
      <c r="L18" s="8"/>
      <c r="M18" s="6" t="s">
        <v>129</v>
      </c>
      <c r="N18" s="8"/>
      <c r="O18" s="9" t="s">
        <v>130</v>
      </c>
      <c r="P18" s="8"/>
    </row>
    <row r="19" spans="1:16" ht="18" customHeight="1">
      <c r="A19" s="8" t="s">
        <v>1636</v>
      </c>
      <c r="B19" s="8" t="s">
        <v>1593</v>
      </c>
      <c r="C19" s="8" t="s">
        <v>1637</v>
      </c>
      <c r="D19" s="8" t="s">
        <v>133</v>
      </c>
      <c r="E19" s="2" t="s">
        <v>1638</v>
      </c>
      <c r="F19" s="3" t="str">
        <f>DBCS("CellRune Oracle 2026")</f>
        <v>ＣｅｌｌＲｕｎｅ　Ｏｒａｃｌｅ　２０２６</v>
      </c>
      <c r="G19" s="8"/>
      <c r="H19" s="8"/>
      <c r="I19" s="8"/>
      <c r="J19" s="8"/>
      <c r="K19" s="8"/>
      <c r="L19" s="8"/>
      <c r="M19" s="6" t="s">
        <v>129</v>
      </c>
      <c r="N19" s="8"/>
      <c r="O19" s="9" t="s">
        <v>130</v>
      </c>
      <c r="P19" s="8"/>
    </row>
    <row r="20" spans="1:16" ht="18" customHeight="1">
      <c r="A20" s="8" t="s">
        <v>1639</v>
      </c>
      <c r="B20" s="8" t="s">
        <v>1593</v>
      </c>
      <c r="C20" s="8" t="s">
        <v>1640</v>
      </c>
      <c r="D20" s="8" t="s">
        <v>127</v>
      </c>
      <c r="E20" s="2" t="s">
        <v>1641</v>
      </c>
      <c r="F20" s="3" t="str">
        <f>DOLLAR(1234.567,2)</f>
        <v>₩1,234.57</v>
      </c>
      <c r="G20" s="8"/>
      <c r="H20" s="8"/>
      <c r="I20" s="8"/>
      <c r="J20" s="8"/>
      <c r="K20" s="8"/>
      <c r="L20" s="8"/>
      <c r="M20" s="6" t="s">
        <v>129</v>
      </c>
      <c r="N20" s="8"/>
      <c r="O20" s="9" t="s">
        <v>130</v>
      </c>
      <c r="P20" s="8"/>
    </row>
    <row r="21" spans="1:16" ht="18" customHeight="1">
      <c r="A21" s="8" t="s">
        <v>1642</v>
      </c>
      <c r="B21" s="8" t="s">
        <v>1618</v>
      </c>
      <c r="C21" s="8" t="s">
        <v>1643</v>
      </c>
      <c r="D21" s="8" t="s">
        <v>127</v>
      </c>
      <c r="E21" s="2" t="s">
        <v>1644</v>
      </c>
      <c r="F21" s="3">
        <f>EDATE(SharedData!$D$6,18)</f>
        <v>44378</v>
      </c>
      <c r="G21" s="8"/>
      <c r="H21" s="8"/>
      <c r="I21" s="8"/>
      <c r="J21" s="8"/>
      <c r="K21" s="8"/>
      <c r="L21" s="8"/>
      <c r="M21" s="6" t="s">
        <v>129</v>
      </c>
      <c r="N21" s="3" t="str">
        <f>IF(ISERROR(F21),"ERROR "&amp;IFERROR(ERROR.TYPE(F21),""),"OK")</f>
        <v>OK</v>
      </c>
      <c r="O21" s="9" t="s">
        <v>130</v>
      </c>
      <c r="P21" s="8"/>
    </row>
    <row r="22" spans="1:16" ht="18" customHeight="1">
      <c r="A22" s="8" t="s">
        <v>1645</v>
      </c>
      <c r="B22" s="8" t="s">
        <v>1618</v>
      </c>
      <c r="C22" s="8" t="s">
        <v>1646</v>
      </c>
      <c r="D22" s="8" t="s">
        <v>127</v>
      </c>
      <c r="E22" s="2" t="s">
        <v>1647</v>
      </c>
      <c r="F22" s="3">
        <f>EOMONTH(SharedData!$D$6,3)</f>
        <v>43951</v>
      </c>
      <c r="G22" s="8"/>
      <c r="H22" s="8"/>
      <c r="I22" s="8"/>
      <c r="J22" s="8"/>
      <c r="K22" s="8"/>
      <c r="L22" s="8"/>
      <c r="M22" s="6" t="s">
        <v>129</v>
      </c>
      <c r="N22" s="8"/>
      <c r="O22" s="9" t="s">
        <v>130</v>
      </c>
      <c r="P22" s="8"/>
    </row>
    <row r="23" spans="1:16" ht="18" customHeight="1">
      <c r="A23" s="8" t="s">
        <v>1648</v>
      </c>
      <c r="B23" s="8" t="s">
        <v>1593</v>
      </c>
      <c r="C23" s="8" t="s">
        <v>1649</v>
      </c>
      <c r="D23" s="8" t="s">
        <v>127</v>
      </c>
      <c r="E23" s="2" t="s">
        <v>1650</v>
      </c>
      <c r="F23" s="3" t="b">
        <f>EXACT("CellRune","cellrune")</f>
        <v>0</v>
      </c>
      <c r="G23" s="8"/>
      <c r="H23" s="8"/>
      <c r="I23" s="8"/>
      <c r="J23" s="8"/>
      <c r="K23" s="8"/>
      <c r="L23" s="8"/>
      <c r="M23" s="6" t="s">
        <v>129</v>
      </c>
      <c r="N23" s="8"/>
      <c r="O23" s="9" t="s">
        <v>130</v>
      </c>
      <c r="P23" s="8"/>
    </row>
    <row r="24" spans="1:16" ht="18" customHeight="1">
      <c r="A24" s="8" t="s">
        <v>1651</v>
      </c>
      <c r="B24" s="8" t="s">
        <v>1593</v>
      </c>
      <c r="C24" s="8" t="s">
        <v>1652</v>
      </c>
      <c r="D24" s="8" t="s">
        <v>127</v>
      </c>
      <c r="E24" s="2" t="s">
        <v>1653</v>
      </c>
      <c r="F24" s="3">
        <f>FIND("Rune","CellRune Oracle")</f>
        <v>5</v>
      </c>
      <c r="G24" s="8"/>
      <c r="H24" s="8"/>
      <c r="I24" s="8"/>
      <c r="J24" s="8"/>
      <c r="K24" s="8"/>
      <c r="L24" s="8"/>
      <c r="M24" s="6" t="s">
        <v>129</v>
      </c>
      <c r="N24" s="8"/>
      <c r="O24" s="9" t="s">
        <v>130</v>
      </c>
      <c r="P24" s="8"/>
    </row>
    <row r="25" spans="1:16" ht="18" customHeight="1">
      <c r="A25" s="8" t="s">
        <v>1654</v>
      </c>
      <c r="B25" s="8" t="s">
        <v>1593</v>
      </c>
      <c r="C25" s="8" t="s">
        <v>1655</v>
      </c>
      <c r="D25" s="8" t="s">
        <v>127</v>
      </c>
      <c r="E25" s="2" t="s">
        <v>1656</v>
      </c>
      <c r="F25" s="3">
        <f>FINDB("Rune","CellRune Oracle")</f>
        <v>5</v>
      </c>
      <c r="G25" s="8"/>
      <c r="H25" s="8"/>
      <c r="I25" s="8"/>
      <c r="J25" s="8"/>
      <c r="K25" s="8"/>
      <c r="L25" s="8"/>
      <c r="M25" s="6" t="s">
        <v>129</v>
      </c>
      <c r="N25" s="8"/>
      <c r="O25" s="9" t="s">
        <v>130</v>
      </c>
      <c r="P25" s="8"/>
    </row>
    <row r="26" spans="1:16" ht="18" customHeight="1">
      <c r="A26" s="8" t="s">
        <v>1657</v>
      </c>
      <c r="B26" s="8" t="s">
        <v>1593</v>
      </c>
      <c r="C26" s="8" t="s">
        <v>1658</v>
      </c>
      <c r="D26" s="8" t="s">
        <v>127</v>
      </c>
      <c r="E26" s="2" t="s">
        <v>1659</v>
      </c>
      <c r="F26" s="3" t="str">
        <f>FIXED(12345.6789,2,TRUE)</f>
        <v>12345.68</v>
      </c>
      <c r="G26" s="8"/>
      <c r="H26" s="8"/>
      <c r="I26" s="8"/>
      <c r="J26" s="8"/>
      <c r="K26" s="8"/>
      <c r="L26" s="8"/>
      <c r="M26" s="6" t="s">
        <v>129</v>
      </c>
      <c r="N26" s="8"/>
      <c r="O26" s="9" t="s">
        <v>130</v>
      </c>
      <c r="P26" s="8"/>
    </row>
    <row r="27" spans="1:16" ht="18" customHeight="1">
      <c r="A27" s="8" t="s">
        <v>1660</v>
      </c>
      <c r="B27" s="8" t="s">
        <v>1593</v>
      </c>
      <c r="C27" s="8" t="s">
        <v>1661</v>
      </c>
      <c r="D27" s="8" t="s">
        <v>127</v>
      </c>
      <c r="E27" s="2" t="s">
        <v>1662</v>
      </c>
      <c r="F27" s="3" t="str">
        <f ca="1">_xlfn.FORMULATEXT(SharedData!$J$6)</f>
        <v>=I6*2+3</v>
      </c>
      <c r="G27" s="8"/>
      <c r="H27" s="8"/>
      <c r="I27" s="8"/>
      <c r="J27" s="8"/>
      <c r="K27" s="8"/>
      <c r="L27" s="8"/>
      <c r="M27" s="6" t="s">
        <v>129</v>
      </c>
      <c r="N27" s="8"/>
      <c r="O27" s="9" t="s">
        <v>130</v>
      </c>
      <c r="P27" s="8"/>
    </row>
    <row r="28" spans="1:16" ht="18" customHeight="1">
      <c r="A28" s="8" t="s">
        <v>1663</v>
      </c>
      <c r="B28" s="8" t="s">
        <v>1618</v>
      </c>
      <c r="C28" s="8" t="s">
        <v>1664</v>
      </c>
      <c r="D28" s="8" t="s">
        <v>127</v>
      </c>
      <c r="E28" s="2" t="s">
        <v>1665</v>
      </c>
      <c r="F28" s="3">
        <f>HOUR(TIME(14,35,42))</f>
        <v>14</v>
      </c>
      <c r="G28" s="8"/>
      <c r="H28" s="8"/>
      <c r="I28" s="8"/>
      <c r="J28" s="8"/>
      <c r="K28" s="8"/>
      <c r="L28" s="8"/>
      <c r="M28" s="6" t="s">
        <v>129</v>
      </c>
      <c r="N28" s="8"/>
      <c r="O28" s="9" t="s">
        <v>130</v>
      </c>
      <c r="P28" s="8"/>
    </row>
    <row r="29" spans="1:16" ht="18" customHeight="1">
      <c r="A29" s="8" t="s">
        <v>1666</v>
      </c>
      <c r="B29" s="8" t="s">
        <v>1618</v>
      </c>
      <c r="C29" s="8" t="s">
        <v>1667</v>
      </c>
      <c r="D29" s="8" t="s">
        <v>127</v>
      </c>
      <c r="E29" s="2" t="s">
        <v>1668</v>
      </c>
      <c r="F29" s="3">
        <f>_xlfn.ISOWEEKNUM(DATE(2026,1,1))</f>
        <v>1</v>
      </c>
      <c r="G29" s="8"/>
      <c r="H29" s="8"/>
      <c r="I29" s="8"/>
      <c r="J29" s="8"/>
      <c r="K29" s="8"/>
      <c r="L29" s="8"/>
      <c r="M29" s="6" t="s">
        <v>129</v>
      </c>
      <c r="N29" s="3" t="str">
        <f>IF(ISERROR(F29),"ERROR "&amp;IFERROR(ERROR.TYPE(F29),""),"OK")</f>
        <v>OK</v>
      </c>
      <c r="O29" s="9" t="s">
        <v>130</v>
      </c>
      <c r="P29" s="3">
        <f>IFERROR(N(F29),0)+IFERROR(N(Lookup!$F$17),0)+ROW()/100000</f>
        <v>11.00029</v>
      </c>
    </row>
    <row r="30" spans="1:16" ht="18" customHeight="1">
      <c r="A30" s="8" t="s">
        <v>1669</v>
      </c>
      <c r="B30" s="8" t="s">
        <v>1593</v>
      </c>
      <c r="C30" s="8" t="s">
        <v>1670</v>
      </c>
      <c r="D30" s="8" t="s">
        <v>127</v>
      </c>
      <c r="E30" s="2" t="s">
        <v>1671</v>
      </c>
      <c r="F30" s="3" t="str">
        <f>LEFT("CellRune Oracle",4)</f>
        <v>Cell</v>
      </c>
      <c r="G30" s="8"/>
      <c r="H30" s="8"/>
      <c r="I30" s="8"/>
      <c r="J30" s="8"/>
      <c r="K30" s="8"/>
      <c r="L30" s="8"/>
      <c r="M30" s="6" t="s">
        <v>129</v>
      </c>
      <c r="N30" s="8"/>
      <c r="O30" s="9" t="s">
        <v>130</v>
      </c>
      <c r="P30" s="8"/>
    </row>
    <row r="31" spans="1:16" ht="18" customHeight="1">
      <c r="A31" s="8" t="s">
        <v>1672</v>
      </c>
      <c r="B31" s="8" t="s">
        <v>1593</v>
      </c>
      <c r="C31" s="8" t="s">
        <v>1673</v>
      </c>
      <c r="D31" s="8" t="s">
        <v>127</v>
      </c>
      <c r="E31" s="2" t="s">
        <v>1674</v>
      </c>
      <c r="F31" s="3" t="str">
        <f>LEFTB("CellRune Oracle",4)</f>
        <v>Cell</v>
      </c>
      <c r="G31" s="8"/>
      <c r="H31" s="8"/>
      <c r="I31" s="8"/>
      <c r="J31" s="8"/>
      <c r="K31" s="8"/>
      <c r="L31" s="8"/>
      <c r="M31" s="6" t="s">
        <v>129</v>
      </c>
      <c r="N31" s="8"/>
      <c r="O31" s="9" t="s">
        <v>130</v>
      </c>
      <c r="P31" s="8"/>
    </row>
    <row r="32" spans="1:16" ht="18" customHeight="1">
      <c r="A32" s="8" t="s">
        <v>1675</v>
      </c>
      <c r="B32" s="8" t="s">
        <v>1593</v>
      </c>
      <c r="C32" s="8" t="s">
        <v>1676</v>
      </c>
      <c r="D32" s="8" t="s">
        <v>127</v>
      </c>
      <c r="E32" s="2" t="s">
        <v>1677</v>
      </c>
      <c r="F32" s="3">
        <f>LEN("CellRune 오라클")</f>
        <v>12</v>
      </c>
      <c r="G32" s="8"/>
      <c r="H32" s="8"/>
      <c r="I32" s="8"/>
      <c r="J32" s="8"/>
      <c r="K32" s="8"/>
      <c r="L32" s="8"/>
      <c r="M32" s="6" t="s">
        <v>129</v>
      </c>
      <c r="N32" s="8"/>
      <c r="O32" s="9" t="s">
        <v>130</v>
      </c>
      <c r="P32" s="8"/>
    </row>
    <row r="33" spans="1:16" ht="18" customHeight="1">
      <c r="A33" s="8" t="s">
        <v>1678</v>
      </c>
      <c r="B33" s="8" t="s">
        <v>1593</v>
      </c>
      <c r="C33" s="8" t="s">
        <v>1679</v>
      </c>
      <c r="D33" s="8" t="s">
        <v>127</v>
      </c>
      <c r="E33" s="2" t="s">
        <v>1680</v>
      </c>
      <c r="F33" s="3">
        <f>LENB("CellRune 오라클")</f>
        <v>15</v>
      </c>
      <c r="G33" s="8"/>
      <c r="H33" s="8"/>
      <c r="I33" s="8"/>
      <c r="J33" s="8"/>
      <c r="K33" s="8"/>
      <c r="L33" s="8"/>
      <c r="M33" s="6" t="s">
        <v>129</v>
      </c>
      <c r="N33" s="8"/>
      <c r="O33" s="9" t="s">
        <v>130</v>
      </c>
      <c r="P33" s="8"/>
    </row>
    <row r="34" spans="1:16" ht="18" customHeight="1">
      <c r="A34" s="8" t="s">
        <v>1681</v>
      </c>
      <c r="B34" s="8" t="s">
        <v>1593</v>
      </c>
      <c r="C34" s="8" t="s">
        <v>1682</v>
      </c>
      <c r="D34" s="8" t="s">
        <v>133</v>
      </c>
      <c r="E34" s="2" t="s">
        <v>1683</v>
      </c>
      <c r="F34" s="3" t="str">
        <f>LOWER("CellRune Oracle 2026")</f>
        <v>cellrune oracle 2026</v>
      </c>
      <c r="G34" s="8"/>
      <c r="H34" s="8"/>
      <c r="I34" s="8"/>
      <c r="J34" s="8"/>
      <c r="K34" s="8"/>
      <c r="L34" s="8"/>
      <c r="M34" s="6" t="s">
        <v>129</v>
      </c>
      <c r="N34" s="8"/>
      <c r="O34" s="9" t="s">
        <v>130</v>
      </c>
      <c r="P34" s="8"/>
    </row>
    <row r="35" spans="1:16" ht="18" customHeight="1">
      <c r="A35" s="8" t="s">
        <v>1684</v>
      </c>
      <c r="B35" s="8" t="s">
        <v>1593</v>
      </c>
      <c r="C35" s="8" t="s">
        <v>1685</v>
      </c>
      <c r="D35" s="8" t="s">
        <v>127</v>
      </c>
      <c r="E35" s="2" t="s">
        <v>1686</v>
      </c>
      <c r="F35" s="3" t="str">
        <f>MID("CellRune Oracle",5,4)</f>
        <v>Rune</v>
      </c>
      <c r="G35" s="8"/>
      <c r="H35" s="8"/>
      <c r="I35" s="8"/>
      <c r="J35" s="8"/>
      <c r="K35" s="8"/>
      <c r="L35" s="8"/>
      <c r="M35" s="6" t="s">
        <v>129</v>
      </c>
      <c r="N35" s="8"/>
      <c r="O35" s="9" t="s">
        <v>130</v>
      </c>
      <c r="P35" s="8"/>
    </row>
    <row r="36" spans="1:16" ht="18" customHeight="1">
      <c r="A36" s="8" t="s">
        <v>1687</v>
      </c>
      <c r="B36" s="8" t="s">
        <v>1593</v>
      </c>
      <c r="C36" s="8" t="s">
        <v>1688</v>
      </c>
      <c r="D36" s="8" t="s">
        <v>127</v>
      </c>
      <c r="E36" s="2" t="s">
        <v>1689</v>
      </c>
      <c r="F36" s="3" t="str">
        <f>MIDB("CellRune Oracle",5,4)</f>
        <v>Rune</v>
      </c>
      <c r="G36" s="8"/>
      <c r="H36" s="8"/>
      <c r="I36" s="8"/>
      <c r="J36" s="8"/>
      <c r="K36" s="8"/>
      <c r="L36" s="8"/>
      <c r="M36" s="6" t="s">
        <v>129</v>
      </c>
      <c r="N36" s="8"/>
      <c r="O36" s="9" t="s">
        <v>130</v>
      </c>
      <c r="P36" s="8"/>
    </row>
    <row r="37" spans="1:16" ht="18" customHeight="1">
      <c r="A37" s="8" t="s">
        <v>1690</v>
      </c>
      <c r="B37" s="8" t="s">
        <v>1618</v>
      </c>
      <c r="C37" s="8" t="s">
        <v>1691</v>
      </c>
      <c r="D37" s="8" t="s">
        <v>127</v>
      </c>
      <c r="E37" s="2" t="s">
        <v>1692</v>
      </c>
      <c r="F37" s="3">
        <f>MINUTE(TIME(14,35,42))</f>
        <v>35</v>
      </c>
      <c r="G37" s="8"/>
      <c r="H37" s="8"/>
      <c r="I37" s="8"/>
      <c r="J37" s="8"/>
      <c r="K37" s="8"/>
      <c r="L37" s="8"/>
      <c r="M37" s="6" t="s">
        <v>129</v>
      </c>
      <c r="N37" s="3" t="str">
        <f>IF(ISERROR(F37),"ERROR "&amp;IFERROR(ERROR.TYPE(F37),""),"OK")</f>
        <v>OK</v>
      </c>
      <c r="O37" s="9" t="s">
        <v>130</v>
      </c>
      <c r="P37" s="8"/>
    </row>
    <row r="38" spans="1:16" ht="18" customHeight="1">
      <c r="A38" s="8" t="s">
        <v>1693</v>
      </c>
      <c r="B38" s="8" t="s">
        <v>1618</v>
      </c>
      <c r="C38" s="8" t="s">
        <v>1694</v>
      </c>
      <c r="D38" s="8" t="s">
        <v>133</v>
      </c>
      <c r="E38" s="2" t="s">
        <v>1695</v>
      </c>
      <c r="F38" s="3">
        <f>MONTH(DATE(2026,7,27))</f>
        <v>7</v>
      </c>
      <c r="G38" s="8"/>
      <c r="H38" s="8"/>
      <c r="I38" s="8"/>
      <c r="J38" s="8"/>
      <c r="K38" s="8"/>
      <c r="L38" s="8"/>
      <c r="M38" s="6" t="s">
        <v>129</v>
      </c>
      <c r="N38" s="8"/>
      <c r="O38" s="9" t="s">
        <v>130</v>
      </c>
      <c r="P38" s="8"/>
    </row>
    <row r="39" spans="1:16" ht="18" customHeight="1">
      <c r="A39" s="8" t="s">
        <v>1696</v>
      </c>
      <c r="B39" s="8" t="s">
        <v>1618</v>
      </c>
      <c r="C39" s="8" t="s">
        <v>1697</v>
      </c>
      <c r="D39" s="8" t="s">
        <v>137</v>
      </c>
      <c r="E39" s="2" t="s">
        <v>1698</v>
      </c>
      <c r="F39" s="3">
        <f>NETWORKDAYS(DATE(2026,1,1),DATE(2026,3,31),SharedData!$D$8:$D$12)</f>
        <v>64</v>
      </c>
      <c r="G39" s="8"/>
      <c r="H39" s="8"/>
      <c r="I39" s="8"/>
      <c r="J39" s="8"/>
      <c r="K39" s="8"/>
      <c r="L39" s="8"/>
      <c r="M39" s="6" t="s">
        <v>129</v>
      </c>
      <c r="N39" s="8"/>
      <c r="O39" s="9" t="s">
        <v>130</v>
      </c>
      <c r="P39" s="8"/>
    </row>
    <row r="40" spans="1:16" ht="18" customHeight="1">
      <c r="A40" s="8" t="s">
        <v>1699</v>
      </c>
      <c r="B40" s="8" t="s">
        <v>1618</v>
      </c>
      <c r="C40" s="8" t="s">
        <v>1700</v>
      </c>
      <c r="D40" s="8" t="s">
        <v>127</v>
      </c>
      <c r="E40" s="2" t="s">
        <v>1701</v>
      </c>
      <c r="F40" s="3">
        <f>NETWORKDAYS.INTL(DATE(2026,1,1),DATE(2026,3,31),1,SharedData!$D$8:$D$10)</f>
        <v>64</v>
      </c>
      <c r="G40" s="8"/>
      <c r="H40" s="8"/>
      <c r="I40" s="8"/>
      <c r="J40" s="8"/>
      <c r="K40" s="8"/>
      <c r="L40" s="8"/>
      <c r="M40" s="6" t="s">
        <v>129</v>
      </c>
      <c r="N40" s="8"/>
      <c r="O40" s="9" t="s">
        <v>130</v>
      </c>
      <c r="P40" s="8"/>
    </row>
    <row r="41" spans="1:16" ht="18" customHeight="1">
      <c r="A41" s="8" t="s">
        <v>1702</v>
      </c>
      <c r="B41" s="8" t="s">
        <v>1593</v>
      </c>
      <c r="C41" s="8" t="s">
        <v>1703</v>
      </c>
      <c r="D41" s="8" t="s">
        <v>127</v>
      </c>
      <c r="E41" s="2" t="s">
        <v>1704</v>
      </c>
      <c r="F41" s="3">
        <f>_xlfn.NUMBERVALUE("1,234.56",".",",")</f>
        <v>1234.56</v>
      </c>
      <c r="G41" s="8"/>
      <c r="H41" s="8"/>
      <c r="I41" s="8"/>
      <c r="J41" s="8"/>
      <c r="K41" s="8"/>
      <c r="L41" s="8"/>
      <c r="M41" s="6" t="s">
        <v>129</v>
      </c>
      <c r="N41" s="8"/>
      <c r="O41" s="9" t="s">
        <v>130</v>
      </c>
      <c r="P41" s="3">
        <f>IFERROR(N(F41),0)+IFERROR(N(Lookup!$F$29),0)+ROW()/100000</f>
        <v>1241.56041</v>
      </c>
    </row>
    <row r="42" spans="1:16" ht="18" customHeight="1">
      <c r="A42" s="8" t="s">
        <v>1705</v>
      </c>
      <c r="B42" s="8" t="s">
        <v>1593</v>
      </c>
      <c r="C42" s="8" t="s">
        <v>1706</v>
      </c>
      <c r="D42" s="8" t="s">
        <v>137</v>
      </c>
      <c r="E42" s="2" t="s">
        <v>1707</v>
      </c>
      <c r="F42" s="3" t="str">
        <f>PHONETIC(SharedData!$B$6)</f>
        <v>K001</v>
      </c>
      <c r="G42" s="8"/>
      <c r="H42" s="8"/>
      <c r="I42" s="8"/>
      <c r="J42" s="8"/>
      <c r="K42" s="8"/>
      <c r="L42" s="8"/>
      <c r="M42" s="6" t="s">
        <v>129</v>
      </c>
      <c r="N42" s="8"/>
      <c r="O42" s="9" t="s">
        <v>130</v>
      </c>
      <c r="P42" s="8"/>
    </row>
    <row r="43" spans="1:16" ht="18" customHeight="1">
      <c r="A43" s="8" t="s">
        <v>1708</v>
      </c>
      <c r="B43" s="8" t="s">
        <v>1593</v>
      </c>
      <c r="C43" s="8" t="s">
        <v>1709</v>
      </c>
      <c r="D43" s="8" t="s">
        <v>133</v>
      </c>
      <c r="E43" s="2" t="s">
        <v>1710</v>
      </c>
      <c r="F43" s="3" t="str">
        <f>PROPER("CellRune Oracle 2026")</f>
        <v>Cellrune Oracle 2026</v>
      </c>
      <c r="G43" s="8"/>
      <c r="H43" s="8"/>
      <c r="I43" s="8"/>
      <c r="J43" s="8"/>
      <c r="K43" s="8"/>
      <c r="L43" s="8"/>
      <c r="M43" s="6" t="s">
        <v>129</v>
      </c>
      <c r="N43" s="8"/>
      <c r="O43" s="9" t="s">
        <v>130</v>
      </c>
      <c r="P43" s="8"/>
    </row>
    <row r="44" spans="1:16" ht="18" customHeight="1">
      <c r="A44" s="8" t="s">
        <v>1711</v>
      </c>
      <c r="B44" s="8" t="s">
        <v>1593</v>
      </c>
      <c r="C44" s="8" t="s">
        <v>1712</v>
      </c>
      <c r="D44" s="8" t="s">
        <v>127</v>
      </c>
      <c r="E44" s="2" t="s">
        <v>1713</v>
      </c>
      <c r="F44" s="3" t="str">
        <f>_xlfn.REGEXEXTRACT("CR-2026-0727","[0-9]{4}")</f>
        <v>2026</v>
      </c>
      <c r="G44" s="8"/>
      <c r="H44" s="8"/>
      <c r="I44" s="8"/>
      <c r="J44" s="8"/>
      <c r="K44" s="8"/>
      <c r="L44" s="8"/>
      <c r="M44" s="6" t="s">
        <v>129</v>
      </c>
      <c r="N44" s="8"/>
      <c r="O44" s="9" t="s">
        <v>130</v>
      </c>
      <c r="P44" s="8"/>
    </row>
    <row r="45" spans="1:16" ht="18" customHeight="1">
      <c r="A45" s="8" t="s">
        <v>1714</v>
      </c>
      <c r="B45" s="8" t="s">
        <v>1593</v>
      </c>
      <c r="C45" s="8" t="s">
        <v>1715</v>
      </c>
      <c r="D45" s="8" t="s">
        <v>127</v>
      </c>
      <c r="E45" s="2" t="s">
        <v>1716</v>
      </c>
      <c r="F45" s="3" t="str">
        <f>_xlfn.REGEXREPLACE("CR-2026-0727","[0-9]","#")</f>
        <v>CR-####-####</v>
      </c>
      <c r="G45" s="8"/>
      <c r="H45" s="8"/>
      <c r="I45" s="8"/>
      <c r="J45" s="8"/>
      <c r="K45" s="8"/>
      <c r="L45" s="8"/>
      <c r="M45" s="6" t="s">
        <v>129</v>
      </c>
      <c r="N45" s="3" t="str">
        <f>IF(ISERROR(F45),"ERROR "&amp;IFERROR(ERROR.TYPE(F45),""),"OK")</f>
        <v>OK</v>
      </c>
      <c r="O45" s="9" t="s">
        <v>130</v>
      </c>
      <c r="P45" s="8"/>
    </row>
    <row r="46" spans="1:16" ht="18" customHeight="1">
      <c r="A46" s="8" t="s">
        <v>1717</v>
      </c>
      <c r="B46" s="8" t="s">
        <v>1593</v>
      </c>
      <c r="C46" s="8" t="s">
        <v>1718</v>
      </c>
      <c r="D46" s="8" t="s">
        <v>127</v>
      </c>
      <c r="E46" s="2" t="s">
        <v>1719</v>
      </c>
      <c r="F46" s="3" t="b">
        <f>_xlfn.REGEXTEST("CR-2026-0727","^CR-[0-9]{4}")</f>
        <v>1</v>
      </c>
      <c r="G46" s="8"/>
      <c r="H46" s="8"/>
      <c r="I46" s="8"/>
      <c r="J46" s="8"/>
      <c r="K46" s="8"/>
      <c r="L46" s="8"/>
      <c r="M46" s="6" t="s">
        <v>129</v>
      </c>
      <c r="N46" s="8"/>
      <c r="O46" s="9" t="s">
        <v>130</v>
      </c>
      <c r="P46" s="8"/>
    </row>
    <row r="47" spans="1:16" ht="18" customHeight="1">
      <c r="A47" s="8" t="s">
        <v>1720</v>
      </c>
      <c r="B47" s="8" t="s">
        <v>1593</v>
      </c>
      <c r="C47" s="8" t="s">
        <v>1721</v>
      </c>
      <c r="D47" s="8" t="s">
        <v>127</v>
      </c>
      <c r="E47" s="2" t="s">
        <v>1722</v>
      </c>
      <c r="F47" s="3" t="str">
        <f>REPLACE("CellRune",5,4,"Oracle")</f>
        <v>CellOracle</v>
      </c>
      <c r="G47" s="8"/>
      <c r="H47" s="8"/>
      <c r="I47" s="8"/>
      <c r="J47" s="8"/>
      <c r="K47" s="8"/>
      <c r="L47" s="8"/>
      <c r="M47" s="6" t="s">
        <v>129</v>
      </c>
      <c r="N47" s="8"/>
      <c r="O47" s="9" t="s">
        <v>130</v>
      </c>
      <c r="P47" s="8"/>
    </row>
    <row r="48" spans="1:16" ht="18" customHeight="1">
      <c r="A48" s="8" t="s">
        <v>1723</v>
      </c>
      <c r="B48" s="8" t="s">
        <v>1593</v>
      </c>
      <c r="C48" s="8" t="s">
        <v>1724</v>
      </c>
      <c r="D48" s="8" t="s">
        <v>127</v>
      </c>
      <c r="E48" s="2" t="s">
        <v>1725</v>
      </c>
      <c r="F48" s="3" t="str">
        <f>REPLACEB("CellRune",5,4,"Oracle")</f>
        <v>CellOracle</v>
      </c>
      <c r="G48" s="8"/>
      <c r="H48" s="8"/>
      <c r="I48" s="8"/>
      <c r="J48" s="8"/>
      <c r="K48" s="8"/>
      <c r="L48" s="8"/>
      <c r="M48" s="6" t="s">
        <v>129</v>
      </c>
      <c r="N48" s="8"/>
      <c r="O48" s="9" t="s">
        <v>130</v>
      </c>
      <c r="P48" s="8"/>
    </row>
    <row r="49" spans="1:16" ht="18" customHeight="1">
      <c r="A49" s="8" t="s">
        <v>1726</v>
      </c>
      <c r="B49" s="8" t="s">
        <v>1593</v>
      </c>
      <c r="C49" s="8" t="s">
        <v>1727</v>
      </c>
      <c r="D49" s="8" t="s">
        <v>137</v>
      </c>
      <c r="E49" s="2" t="s">
        <v>1728</v>
      </c>
      <c r="F49" s="3" t="str">
        <f>REPT("CR",3)</f>
        <v>CRCRCR</v>
      </c>
      <c r="G49" s="8"/>
      <c r="H49" s="8"/>
      <c r="I49" s="8"/>
      <c r="J49" s="8"/>
      <c r="K49" s="8"/>
      <c r="L49" s="8"/>
      <c r="M49" s="6" t="s">
        <v>129</v>
      </c>
      <c r="N49" s="8"/>
      <c r="O49" s="9" t="s">
        <v>130</v>
      </c>
      <c r="P49" s="8"/>
    </row>
    <row r="50" spans="1:16" ht="18" customHeight="1">
      <c r="A50" s="8" t="s">
        <v>1729</v>
      </c>
      <c r="B50" s="8" t="s">
        <v>1593</v>
      </c>
      <c r="C50" s="8" t="s">
        <v>1730</v>
      </c>
      <c r="D50" s="8" t="s">
        <v>127</v>
      </c>
      <c r="E50" s="2" t="s">
        <v>1731</v>
      </c>
      <c r="F50" s="3" t="str">
        <f>RIGHT("CellRune Oracle",6)</f>
        <v>Oracle</v>
      </c>
      <c r="G50" s="8"/>
      <c r="H50" s="8"/>
      <c r="I50" s="8"/>
      <c r="J50" s="8"/>
      <c r="K50" s="8"/>
      <c r="L50" s="8"/>
      <c r="M50" s="6" t="s">
        <v>129</v>
      </c>
      <c r="N50" s="8"/>
      <c r="O50" s="9" t="s">
        <v>130</v>
      </c>
      <c r="P50" s="8"/>
    </row>
    <row r="51" spans="1:16" ht="18" customHeight="1">
      <c r="A51" s="8" t="s">
        <v>1732</v>
      </c>
      <c r="B51" s="8" t="s">
        <v>1593</v>
      </c>
      <c r="C51" s="8" t="s">
        <v>1733</v>
      </c>
      <c r="D51" s="8" t="s">
        <v>127</v>
      </c>
      <c r="E51" s="2" t="s">
        <v>1734</v>
      </c>
      <c r="F51" s="3" t="str">
        <f>RIGHTB("CellRune Oracle",6)</f>
        <v>Oracle</v>
      </c>
      <c r="G51" s="8"/>
      <c r="H51" s="8"/>
      <c r="I51" s="8"/>
      <c r="J51" s="8"/>
      <c r="K51" s="8"/>
      <c r="L51" s="8"/>
      <c r="M51" s="6" t="s">
        <v>129</v>
      </c>
      <c r="N51" s="8"/>
      <c r="O51" s="9" t="s">
        <v>130</v>
      </c>
      <c r="P51" s="8"/>
    </row>
    <row r="52" spans="1:16" ht="18" customHeight="1">
      <c r="A52" s="8" t="s">
        <v>1735</v>
      </c>
      <c r="B52" s="8" t="s">
        <v>1593</v>
      </c>
      <c r="C52" s="8" t="s">
        <v>1736</v>
      </c>
      <c r="D52" s="8" t="s">
        <v>127</v>
      </c>
      <c r="E52" s="2" t="s">
        <v>1737</v>
      </c>
      <c r="F52" s="3">
        <f>SEARCH("rune","CellRune Oracle")</f>
        <v>5</v>
      </c>
      <c r="G52" s="8"/>
      <c r="H52" s="8"/>
      <c r="I52" s="8"/>
      <c r="J52" s="8"/>
      <c r="K52" s="8"/>
      <c r="L52" s="8"/>
      <c r="M52" s="6" t="s">
        <v>129</v>
      </c>
      <c r="N52" s="8"/>
      <c r="O52" s="9" t="s">
        <v>130</v>
      </c>
      <c r="P52" s="8"/>
    </row>
    <row r="53" spans="1:16" ht="18" customHeight="1">
      <c r="A53" s="8" t="s">
        <v>1738</v>
      </c>
      <c r="B53" s="8" t="s">
        <v>1593</v>
      </c>
      <c r="C53" s="8" t="s">
        <v>1739</v>
      </c>
      <c r="D53" s="8" t="s">
        <v>127</v>
      </c>
      <c r="E53" s="2" t="s">
        <v>1740</v>
      </c>
      <c r="F53" s="3">
        <f>SEARCHB("rune","CellRune Oracle")</f>
        <v>5</v>
      </c>
      <c r="G53" s="8"/>
      <c r="H53" s="8"/>
      <c r="I53" s="8"/>
      <c r="J53" s="8"/>
      <c r="K53" s="8"/>
      <c r="L53" s="8"/>
      <c r="M53" s="6" t="s">
        <v>129</v>
      </c>
      <c r="N53" s="3" t="str">
        <f>IF(ISERROR(F53),"ERROR "&amp;IFERROR(ERROR.TYPE(F53),""),"OK")</f>
        <v>OK</v>
      </c>
      <c r="O53" s="9" t="s">
        <v>130</v>
      </c>
      <c r="P53" s="3">
        <f>IFERROR(N(F53),0)+IFERROR(N(Lookup!$F$41),0)+ROW()/100000</f>
        <v>5.0005300000000004</v>
      </c>
    </row>
    <row r="54" spans="1:16" ht="18" customHeight="1">
      <c r="A54" s="8" t="s">
        <v>1741</v>
      </c>
      <c r="B54" s="8" t="s">
        <v>1618</v>
      </c>
      <c r="C54" s="8" t="s">
        <v>1742</v>
      </c>
      <c r="D54" s="8" t="s">
        <v>127</v>
      </c>
      <c r="E54" s="2" t="s">
        <v>1743</v>
      </c>
      <c r="F54" s="3">
        <f>SECOND(TIME(14,35,42))</f>
        <v>42</v>
      </c>
      <c r="G54" s="8"/>
      <c r="H54" s="8"/>
      <c r="I54" s="8"/>
      <c r="J54" s="8"/>
      <c r="K54" s="8"/>
      <c r="L54" s="8"/>
      <c r="M54" s="6" t="s">
        <v>129</v>
      </c>
      <c r="N54" s="8"/>
      <c r="O54" s="9" t="s">
        <v>130</v>
      </c>
      <c r="P54" s="8"/>
    </row>
    <row r="55" spans="1:16" ht="18" customHeight="1">
      <c r="A55" s="8" t="s">
        <v>1744</v>
      </c>
      <c r="B55" s="8" t="s">
        <v>1593</v>
      </c>
      <c r="C55" s="8" t="s">
        <v>1745</v>
      </c>
      <c r="D55" s="8" t="s">
        <v>137</v>
      </c>
      <c r="E55" s="2" t="s">
        <v>1746</v>
      </c>
      <c r="F55" s="3" t="str">
        <f>SUBSTITUTE("CellRune Oracle 2026","Oracle","Atlas")</f>
        <v>CellRune Atlas 2026</v>
      </c>
      <c r="G55" s="8"/>
      <c r="H55" s="8"/>
      <c r="I55" s="8"/>
      <c r="J55" s="8"/>
      <c r="K55" s="8"/>
      <c r="L55" s="8"/>
      <c r="M55" s="6" t="s">
        <v>129</v>
      </c>
      <c r="N55" s="8"/>
      <c r="O55" s="9" t="s">
        <v>130</v>
      </c>
      <c r="P55" s="8"/>
    </row>
    <row r="56" spans="1:16" ht="18" customHeight="1">
      <c r="A56" s="8" t="s">
        <v>1747</v>
      </c>
      <c r="B56" s="8" t="s">
        <v>1593</v>
      </c>
      <c r="C56" s="8" t="s">
        <v>1748</v>
      </c>
      <c r="D56" s="8" t="s">
        <v>127</v>
      </c>
      <c r="E56" s="2" t="s">
        <v>1749</v>
      </c>
      <c r="F56" s="3" t="str">
        <f>T(SharedData!$B$6)</f>
        <v>K001</v>
      </c>
      <c r="G56" s="8"/>
      <c r="H56" s="8"/>
      <c r="I56" s="8"/>
      <c r="J56" s="8"/>
      <c r="K56" s="8"/>
      <c r="L56" s="8"/>
      <c r="M56" s="6" t="s">
        <v>129</v>
      </c>
      <c r="N56" s="8"/>
      <c r="O56" s="9" t="s">
        <v>130</v>
      </c>
      <c r="P56" s="8"/>
    </row>
    <row r="57" spans="1:16" ht="18" customHeight="1">
      <c r="A57" s="8" t="s">
        <v>1750</v>
      </c>
      <c r="B57" s="8" t="s">
        <v>1593</v>
      </c>
      <c r="C57" s="8" t="s">
        <v>1751</v>
      </c>
      <c r="D57" s="8" t="s">
        <v>127</v>
      </c>
      <c r="E57" s="2" t="s">
        <v>1752</v>
      </c>
      <c r="F57" s="3" t="str">
        <f>TEXT(DATE(2026,7,27),"yyyy-mm-dd")</f>
        <v>2026-07-27</v>
      </c>
      <c r="G57" s="8"/>
      <c r="H57" s="8"/>
      <c r="I57" s="8"/>
      <c r="J57" s="8"/>
      <c r="K57" s="8"/>
      <c r="L57" s="8"/>
      <c r="M57" s="6" t="s">
        <v>129</v>
      </c>
      <c r="N57" s="8"/>
      <c r="O57" s="9" t="s">
        <v>130</v>
      </c>
      <c r="P57" s="8"/>
    </row>
    <row r="58" spans="1:16" ht="18" customHeight="1">
      <c r="A58" s="8" t="s">
        <v>1753</v>
      </c>
      <c r="B58" s="8" t="s">
        <v>1593</v>
      </c>
      <c r="C58" s="8" t="s">
        <v>1754</v>
      </c>
      <c r="D58" s="8" t="s">
        <v>127</v>
      </c>
      <c r="E58" s="2" t="s">
        <v>1755</v>
      </c>
      <c r="F58" s="3" t="str">
        <f>_xlfn.TEXTAFTER("alpha|beta|gamma","|",2)</f>
        <v>gamma</v>
      </c>
      <c r="G58" s="8"/>
      <c r="H58" s="8"/>
      <c r="I58" s="8"/>
      <c r="J58" s="8"/>
      <c r="K58" s="8"/>
      <c r="L58" s="8"/>
      <c r="M58" s="6" t="s">
        <v>129</v>
      </c>
      <c r="N58" s="8"/>
      <c r="O58" s="9" t="s">
        <v>130</v>
      </c>
      <c r="P58" s="8"/>
    </row>
    <row r="59" spans="1:16" ht="18" customHeight="1">
      <c r="A59" s="8" t="s">
        <v>1756</v>
      </c>
      <c r="B59" s="8" t="s">
        <v>1593</v>
      </c>
      <c r="C59" s="8" t="s">
        <v>1757</v>
      </c>
      <c r="D59" s="8" t="s">
        <v>127</v>
      </c>
      <c r="E59" s="2" t="s">
        <v>1758</v>
      </c>
      <c r="F59" s="3" t="str">
        <f>_xlfn.TEXTBEFORE("alpha|beta|gamma","|",2)</f>
        <v>alpha|beta</v>
      </c>
      <c r="G59" s="8"/>
      <c r="H59" s="8"/>
      <c r="I59" s="8"/>
      <c r="J59" s="8"/>
      <c r="K59" s="8"/>
      <c r="L59" s="8"/>
      <c r="M59" s="6" t="s">
        <v>129</v>
      </c>
      <c r="N59" s="8"/>
      <c r="O59" s="9" t="s">
        <v>130</v>
      </c>
      <c r="P59" s="8"/>
    </row>
    <row r="60" spans="1:16" ht="18" customHeight="1">
      <c r="A60" s="8" t="s">
        <v>1759</v>
      </c>
      <c r="B60" s="8" t="s">
        <v>1593</v>
      </c>
      <c r="C60" s="8" t="s">
        <v>1760</v>
      </c>
      <c r="D60" s="8" t="s">
        <v>137</v>
      </c>
      <c r="E60" s="2" t="s">
        <v>1761</v>
      </c>
      <c r="F60" s="3" t="str">
        <f>_xlfn.TEXTJOIN("|",TRUE,SharedData!$B$6:$B$10)</f>
        <v>K001|K002|K003|K004|K005</v>
      </c>
      <c r="G60" s="8"/>
      <c r="H60" s="8"/>
      <c r="I60" s="8"/>
      <c r="J60" s="8"/>
      <c r="K60" s="8"/>
      <c r="L60" s="8"/>
      <c r="M60" s="6" t="s">
        <v>129</v>
      </c>
      <c r="N60" s="8"/>
      <c r="O60" s="9" t="s">
        <v>130</v>
      </c>
      <c r="P60" s="8"/>
    </row>
    <row r="61" spans="1:16" ht="18" customHeight="1">
      <c r="A61" s="8" t="s">
        <v>1762</v>
      </c>
      <c r="B61" s="8" t="s">
        <v>1593</v>
      </c>
      <c r="C61" s="8" t="s">
        <v>1763</v>
      </c>
      <c r="D61" s="8" t="s">
        <v>127</v>
      </c>
      <c r="E61" s="2" t="s">
        <v>1764</v>
      </c>
      <c r="F61" s="3" t="str">
        <f>_xlfn.TEXTSPLIT("alpha|beta;gamma|delta","|",";")</f>
        <v>alpha</v>
      </c>
      <c r="G61" s="8"/>
      <c r="H61" s="8"/>
      <c r="I61" s="8"/>
      <c r="J61" s="8"/>
      <c r="K61" s="8"/>
      <c r="L61" s="8"/>
      <c r="M61" s="6" t="s">
        <v>129</v>
      </c>
      <c r="N61" s="3" t="str">
        <f>IF(ISERROR(F61),"ERROR "&amp;IFERROR(ERROR.TYPE(F61),""),"OK")</f>
        <v>OK</v>
      </c>
      <c r="O61" s="9" t="s">
        <v>130</v>
      </c>
      <c r="P61" s="8"/>
    </row>
    <row r="62" spans="1:16" ht="18" customHeight="1">
      <c r="A62" s="8" t="s">
        <v>1765</v>
      </c>
      <c r="B62" s="8" t="s">
        <v>1618</v>
      </c>
      <c r="C62" s="8" t="s">
        <v>1766</v>
      </c>
      <c r="D62" s="8" t="s">
        <v>127</v>
      </c>
      <c r="E62" s="2" t="s">
        <v>1767</v>
      </c>
      <c r="F62" s="3">
        <f>TIME(14,35,42)</f>
        <v>0.60812500000000003</v>
      </c>
      <c r="G62" s="8"/>
      <c r="H62" s="8"/>
      <c r="I62" s="8"/>
      <c r="J62" s="8"/>
      <c r="K62" s="8"/>
      <c r="L62" s="8"/>
      <c r="M62" s="6" t="s">
        <v>129</v>
      </c>
      <c r="N62" s="8"/>
      <c r="O62" s="9" t="s">
        <v>130</v>
      </c>
      <c r="P62" s="8"/>
    </row>
    <row r="63" spans="1:16" ht="18" customHeight="1">
      <c r="A63" s="8" t="s">
        <v>1768</v>
      </c>
      <c r="B63" s="8" t="s">
        <v>1618</v>
      </c>
      <c r="C63" s="8" t="s">
        <v>1769</v>
      </c>
      <c r="D63" s="8" t="s">
        <v>127</v>
      </c>
      <c r="E63" s="2" t="s">
        <v>1770</v>
      </c>
      <c r="F63" s="3">
        <f>TIMEVALUE("14:35:42")</f>
        <v>0.60812500000000003</v>
      </c>
      <c r="G63" s="8"/>
      <c r="H63" s="8"/>
      <c r="I63" s="8"/>
      <c r="J63" s="8"/>
      <c r="K63" s="8"/>
      <c r="L63" s="8"/>
      <c r="M63" s="6" t="s">
        <v>129</v>
      </c>
      <c r="N63" s="8"/>
      <c r="O63" s="9" t="s">
        <v>130</v>
      </c>
      <c r="P63" s="8"/>
    </row>
    <row r="64" spans="1:16" ht="18" customHeight="1">
      <c r="A64" s="8" t="s">
        <v>1771</v>
      </c>
      <c r="B64" s="8" t="s">
        <v>1593</v>
      </c>
      <c r="C64" s="8" t="s">
        <v>1772</v>
      </c>
      <c r="D64" s="8" t="s">
        <v>133</v>
      </c>
      <c r="E64" s="2" t="s">
        <v>1773</v>
      </c>
      <c r="F64" s="3" t="str">
        <f>TRIM("CellRune Oracle 2026")</f>
        <v>CellRune Oracle 2026</v>
      </c>
      <c r="G64" s="8"/>
      <c r="H64" s="8"/>
      <c r="I64" s="8"/>
      <c r="J64" s="8"/>
      <c r="K64" s="8"/>
      <c r="L64" s="8"/>
      <c r="M64" s="6" t="s">
        <v>129</v>
      </c>
      <c r="N64" s="8"/>
      <c r="O64" s="9" t="s">
        <v>130</v>
      </c>
      <c r="P64" s="8"/>
    </row>
    <row r="65" spans="1:16" ht="18" customHeight="1">
      <c r="A65" s="8" t="s">
        <v>1774</v>
      </c>
      <c r="B65" s="8" t="s">
        <v>1593</v>
      </c>
      <c r="C65" s="8" t="s">
        <v>1775</v>
      </c>
      <c r="D65" s="8" t="s">
        <v>133</v>
      </c>
      <c r="E65" s="2" t="s">
        <v>1776</v>
      </c>
      <c r="F65" s="3" t="e">
        <f>_xlfn.UNICHAR("CellRune Oracle 2026")</f>
        <v>#VALUE!</v>
      </c>
      <c r="G65" s="8"/>
      <c r="H65" s="8"/>
      <c r="I65" s="8"/>
      <c r="J65" s="8"/>
      <c r="K65" s="8"/>
      <c r="L65" s="8"/>
      <c r="M65" s="6" t="s">
        <v>129</v>
      </c>
      <c r="N65" s="8"/>
      <c r="O65" s="9" t="s">
        <v>130</v>
      </c>
      <c r="P65" s="3">
        <f>IFERROR(N(F65),0)+IFERROR(N(Lookup!$F$53),0)+ROW()/100000</f>
        <v>6.4999999999999997E-4</v>
      </c>
    </row>
    <row r="66" spans="1:16" ht="18" customHeight="1">
      <c r="A66" s="8" t="s">
        <v>1777</v>
      </c>
      <c r="B66" s="8" t="s">
        <v>1593</v>
      </c>
      <c r="C66" s="8" t="s">
        <v>1778</v>
      </c>
      <c r="D66" s="8" t="s">
        <v>133</v>
      </c>
      <c r="E66" s="2" t="s">
        <v>1779</v>
      </c>
      <c r="F66" s="3">
        <f>_xlfn.UNICODE("CellRune Oracle 2026")</f>
        <v>67</v>
      </c>
      <c r="G66" s="8"/>
      <c r="H66" s="8"/>
      <c r="I66" s="8"/>
      <c r="J66" s="8"/>
      <c r="K66" s="8"/>
      <c r="L66" s="8"/>
      <c r="M66" s="6" t="s">
        <v>129</v>
      </c>
      <c r="N66" s="8"/>
      <c r="O66" s="9" t="s">
        <v>130</v>
      </c>
      <c r="P66" s="8"/>
    </row>
    <row r="67" spans="1:16" ht="18" customHeight="1">
      <c r="A67" s="8" t="s">
        <v>1780</v>
      </c>
      <c r="B67" s="8" t="s">
        <v>1593</v>
      </c>
      <c r="C67" s="8" t="s">
        <v>1781</v>
      </c>
      <c r="D67" s="8" t="s">
        <v>133</v>
      </c>
      <c r="E67" s="2" t="s">
        <v>1782</v>
      </c>
      <c r="F67" s="3" t="str">
        <f>UPPER("CellRune Oracle 2026")</f>
        <v>CELLRUNE ORACLE 2026</v>
      </c>
      <c r="G67" s="8"/>
      <c r="H67" s="8"/>
      <c r="I67" s="8"/>
      <c r="J67" s="8"/>
      <c r="K67" s="8"/>
      <c r="L67" s="8"/>
      <c r="M67" s="6" t="s">
        <v>129</v>
      </c>
      <c r="N67" s="8"/>
      <c r="O67" s="9" t="s">
        <v>130</v>
      </c>
      <c r="P67" s="8"/>
    </row>
    <row r="68" spans="1:16" ht="18" customHeight="1">
      <c r="A68" s="8" t="s">
        <v>1783</v>
      </c>
      <c r="B68" s="8" t="s">
        <v>1593</v>
      </c>
      <c r="C68" s="8" t="s">
        <v>1784</v>
      </c>
      <c r="D68" s="8" t="s">
        <v>137</v>
      </c>
      <c r="E68" s="2" t="s">
        <v>1785</v>
      </c>
      <c r="F68" s="3">
        <f>VALUE("1234.56")</f>
        <v>1234.56</v>
      </c>
      <c r="G68" s="8"/>
      <c r="H68" s="8"/>
      <c r="I68" s="8"/>
      <c r="J68" s="8"/>
      <c r="K68" s="8"/>
      <c r="L68" s="8"/>
      <c r="M68" s="6" t="s">
        <v>129</v>
      </c>
      <c r="N68" s="8"/>
      <c r="O68" s="9" t="s">
        <v>130</v>
      </c>
      <c r="P68" s="8"/>
    </row>
    <row r="69" spans="1:16" ht="18" customHeight="1">
      <c r="A69" s="8" t="s">
        <v>1786</v>
      </c>
      <c r="B69" s="8" t="s">
        <v>1593</v>
      </c>
      <c r="C69" s="8" t="s">
        <v>1787</v>
      </c>
      <c r="D69" s="8" t="s">
        <v>127</v>
      </c>
      <c r="E69" s="2" t="s">
        <v>1788</v>
      </c>
      <c r="F69" s="3" t="str">
        <f>_xlfn.VALUETOTEXT(SharedData!$A$6:$C$8,1)</f>
        <v>#VALUE!</v>
      </c>
      <c r="G69" s="8"/>
      <c r="H69" s="8"/>
      <c r="I69" s="8"/>
      <c r="J69" s="8"/>
      <c r="K69" s="8"/>
      <c r="L69" s="8"/>
      <c r="M69" s="6" t="s">
        <v>129</v>
      </c>
      <c r="N69" s="3" t="str">
        <f>IF(ISERROR(F69),"ERROR "&amp;IFERROR(ERROR.TYPE(F69),""),"OK")</f>
        <v>OK</v>
      </c>
      <c r="O69" s="9" t="s">
        <v>130</v>
      </c>
      <c r="P69" s="8"/>
    </row>
    <row r="70" spans="1:16" ht="18" customHeight="1">
      <c r="A70" s="8" t="s">
        <v>1789</v>
      </c>
      <c r="B70" s="8" t="s">
        <v>1618</v>
      </c>
      <c r="C70" s="8" t="s">
        <v>1790</v>
      </c>
      <c r="D70" s="8" t="s">
        <v>127</v>
      </c>
      <c r="E70" s="2" t="s">
        <v>1791</v>
      </c>
      <c r="F70" s="3">
        <f>WEEKDAY(DATE(1900,2,28),1)</f>
        <v>3</v>
      </c>
      <c r="G70" s="8"/>
      <c r="H70" s="8"/>
      <c r="I70" s="8"/>
      <c r="J70" s="8"/>
      <c r="K70" s="8"/>
      <c r="L70" s="8"/>
      <c r="M70" s="6" t="s">
        <v>129</v>
      </c>
      <c r="N70" s="8"/>
      <c r="O70" s="9" t="s">
        <v>130</v>
      </c>
      <c r="P70" s="8"/>
    </row>
    <row r="71" spans="1:16" ht="18" customHeight="1">
      <c r="A71" s="8" t="s">
        <v>1792</v>
      </c>
      <c r="B71" s="8" t="s">
        <v>1618</v>
      </c>
      <c r="C71" s="8" t="s">
        <v>1793</v>
      </c>
      <c r="D71" s="8" t="s">
        <v>127</v>
      </c>
      <c r="E71" s="2" t="s">
        <v>1794</v>
      </c>
      <c r="F71" s="3">
        <f>WEEKNUM(DATE(2026,1,1),21)</f>
        <v>1</v>
      </c>
      <c r="G71" s="8"/>
      <c r="H71" s="8"/>
      <c r="I71" s="8"/>
      <c r="J71" s="8"/>
      <c r="K71" s="8"/>
      <c r="L71" s="8"/>
      <c r="M71" s="6" t="s">
        <v>129</v>
      </c>
      <c r="N71" s="8"/>
      <c r="O71" s="9" t="s">
        <v>130</v>
      </c>
      <c r="P71" s="8"/>
    </row>
    <row r="72" spans="1:16" ht="18" customHeight="1">
      <c r="A72" s="8" t="s">
        <v>1795</v>
      </c>
      <c r="B72" s="8" t="s">
        <v>1618</v>
      </c>
      <c r="C72" s="8" t="s">
        <v>1796</v>
      </c>
      <c r="D72" s="8" t="s">
        <v>127</v>
      </c>
      <c r="E72" s="2" t="s">
        <v>1797</v>
      </c>
      <c r="F72" s="3">
        <f>WORKDAY(DATE(2026,1,1),40,SharedData!$D$8:$D$10)</f>
        <v>46079</v>
      </c>
      <c r="G72" s="8"/>
      <c r="H72" s="8"/>
      <c r="I72" s="8"/>
      <c r="J72" s="8"/>
      <c r="K72" s="8"/>
      <c r="L72" s="8"/>
      <c r="M72" s="6" t="s">
        <v>129</v>
      </c>
      <c r="N72" s="8"/>
      <c r="O72" s="9" t="s">
        <v>130</v>
      </c>
      <c r="P72" s="8"/>
    </row>
    <row r="73" spans="1:16" ht="18" customHeight="1">
      <c r="A73" s="8" t="s">
        <v>1798</v>
      </c>
      <c r="B73" s="8" t="s">
        <v>1618</v>
      </c>
      <c r="C73" s="8" t="s">
        <v>1799</v>
      </c>
      <c r="D73" s="8" t="s">
        <v>127</v>
      </c>
      <c r="E73" s="2" t="s">
        <v>1800</v>
      </c>
      <c r="F73" s="3">
        <f>WORKDAY.INTL(DATE(2026,1,1),40,1,SharedData!$D$8:$D$10)</f>
        <v>46079</v>
      </c>
      <c r="G73" s="8"/>
      <c r="H73" s="8"/>
      <c r="I73" s="8"/>
      <c r="J73" s="8"/>
      <c r="K73" s="8"/>
      <c r="L73" s="8"/>
      <c r="M73" s="6" t="s">
        <v>129</v>
      </c>
      <c r="N73" s="8"/>
      <c r="O73" s="9" t="s">
        <v>130</v>
      </c>
      <c r="P73" s="8"/>
    </row>
    <row r="74" spans="1:16" ht="18" customHeight="1">
      <c r="A74" s="8" t="s">
        <v>1801</v>
      </c>
      <c r="B74" s="8" t="s">
        <v>1618</v>
      </c>
      <c r="C74" s="8" t="s">
        <v>1802</v>
      </c>
      <c r="D74" s="8" t="s">
        <v>127</v>
      </c>
      <c r="E74" s="2" t="s">
        <v>1803</v>
      </c>
      <c r="F74" s="3">
        <f>YEAR(SharedData!$D$6)</f>
        <v>2020</v>
      </c>
      <c r="G74" s="8"/>
      <c r="H74" s="8"/>
      <c r="I74" s="8"/>
      <c r="J74" s="8"/>
      <c r="K74" s="8"/>
      <c r="L74" s="8"/>
      <c r="M74" s="6" t="s">
        <v>129</v>
      </c>
      <c r="N74" s="8"/>
      <c r="O74" s="9" t="s">
        <v>130</v>
      </c>
      <c r="P74" s="8"/>
    </row>
    <row r="75" spans="1:16" ht="18" customHeight="1">
      <c r="A75" s="8" t="s">
        <v>1804</v>
      </c>
      <c r="B75" s="8" t="s">
        <v>1618</v>
      </c>
      <c r="C75" s="8" t="s">
        <v>1805</v>
      </c>
      <c r="D75" s="8" t="s">
        <v>127</v>
      </c>
      <c r="E75" s="2" t="s">
        <v>1806</v>
      </c>
      <c r="F75" s="3">
        <f>YEARFRAC(SharedData!$D$6,SharedData!$D$25,1)</f>
        <v>1.6114911080711354</v>
      </c>
      <c r="G75" s="8"/>
      <c r="H75" s="8"/>
      <c r="I75" s="8"/>
      <c r="J75" s="8"/>
      <c r="K75" s="8"/>
      <c r="L75" s="8"/>
      <c r="M75" s="6" t="s">
        <v>129</v>
      </c>
      <c r="N75" s="8"/>
      <c r="O75" s="9" t="s">
        <v>130</v>
      </c>
      <c r="P75" s="8"/>
    </row>
    <row r="76" spans="1:16" ht="18" customHeight="1">
      <c r="A76" s="8" t="s">
        <v>1807</v>
      </c>
      <c r="B76" s="8" t="s">
        <v>537</v>
      </c>
      <c r="C76" s="8" t="s">
        <v>538</v>
      </c>
      <c r="D76" s="8" t="s">
        <v>539</v>
      </c>
      <c r="E76" s="2" t="s">
        <v>1808</v>
      </c>
      <c r="F76" s="3" t="str" cm="1">
        <f t="array" ref="F76">_xlfn.TEXTJOIN("|",TRUE,TEXT(SharedData!$D$6:$D$10,"yyyy-mm-dd"))</f>
        <v>2020-01-01|2020-02-01|2020-03-03|2020-04-03|2020-05-04</v>
      </c>
      <c r="G76" s="8"/>
      <c r="H76" s="8"/>
      <c r="I76" s="8"/>
      <c r="J76" s="8"/>
      <c r="K76" s="8"/>
      <c r="L76" s="8"/>
      <c r="M76" s="6" t="s">
        <v>129</v>
      </c>
      <c r="N76" s="8"/>
      <c r="O76" s="9" t="s">
        <v>541</v>
      </c>
      <c r="P76" s="8"/>
    </row>
    <row r="77" spans="1:16" ht="18" customHeight="1">
      <c r="A77" s="8" t="s">
        <v>1809</v>
      </c>
      <c r="B77" s="8" t="s">
        <v>537</v>
      </c>
      <c r="C77" s="8" t="s">
        <v>538</v>
      </c>
      <c r="D77" s="8" t="s">
        <v>539</v>
      </c>
      <c r="E77" s="2" t="s">
        <v>1810</v>
      </c>
      <c r="F77" s="3">
        <f>DATE(1900,2,29)</f>
        <v>60</v>
      </c>
      <c r="G77" s="8"/>
      <c r="H77" s="8"/>
      <c r="I77" s="8"/>
      <c r="J77" s="8"/>
      <c r="K77" s="8"/>
      <c r="L77" s="8"/>
      <c r="M77" s="6" t="s">
        <v>129</v>
      </c>
      <c r="N77" s="3" t="str">
        <f>IF(ISERROR(F77),"ERROR "&amp;IFERROR(ERROR.TYPE(F77),""),"OK")</f>
        <v>OK</v>
      </c>
      <c r="O77" s="9" t="s">
        <v>541</v>
      </c>
      <c r="P77" s="3">
        <f>IFERROR(N(F77),0)+IFERROR(N(Lookup!$F$65),0)+ROW()/100000</f>
        <v>60.000770000000003</v>
      </c>
    </row>
    <row r="78" spans="1:16" ht="18" customHeight="1">
      <c r="A78" s="8" t="s">
        <v>1811</v>
      </c>
      <c r="B78" s="8" t="s">
        <v>537</v>
      </c>
      <c r="C78" s="8" t="s">
        <v>538</v>
      </c>
      <c r="D78" s="8" t="s">
        <v>539</v>
      </c>
      <c r="E78" s="2" t="s">
        <v>1812</v>
      </c>
      <c r="F78" s="3">
        <f>DATE(1900,3,1)-DATE(1900,2,28)</f>
        <v>2</v>
      </c>
      <c r="G78" s="8"/>
      <c r="H78" s="8"/>
      <c r="I78" s="8"/>
      <c r="J78" s="8"/>
      <c r="K78" s="8"/>
      <c r="L78" s="8"/>
      <c r="M78" s="6" t="s">
        <v>129</v>
      </c>
      <c r="N78" s="8"/>
      <c r="O78" s="9" t="s">
        <v>541</v>
      </c>
      <c r="P78" s="8"/>
    </row>
    <row r="79" spans="1:16" ht="18" customHeight="1">
      <c r="A79" s="8" t="s">
        <v>1813</v>
      </c>
      <c r="B79" s="8" t="s">
        <v>537</v>
      </c>
      <c r="C79" s="8" t="s">
        <v>538</v>
      </c>
      <c r="D79" s="8" t="s">
        <v>539</v>
      </c>
      <c r="E79" s="2" t="s">
        <v>1814</v>
      </c>
      <c r="F79" s="3">
        <f>WEEKDAY(60,1)</f>
        <v>4</v>
      </c>
      <c r="G79" s="8"/>
      <c r="H79" s="8"/>
      <c r="I79" s="8"/>
      <c r="J79" s="8"/>
      <c r="K79" s="8"/>
      <c r="L79" s="8"/>
      <c r="M79" s="6" t="s">
        <v>129</v>
      </c>
      <c r="N79" s="8"/>
      <c r="O79" s="9" t="s">
        <v>541</v>
      </c>
      <c r="P79" s="8"/>
    </row>
    <row r="80" spans="1:16" ht="18" customHeight="1">
      <c r="A80" s="8" t="s">
        <v>1815</v>
      </c>
      <c r="B80" s="8" t="s">
        <v>537</v>
      </c>
      <c r="C80" s="8" t="s">
        <v>538</v>
      </c>
      <c r="D80" s="8" t="s">
        <v>539</v>
      </c>
      <c r="E80" s="2" t="s">
        <v>1816</v>
      </c>
      <c r="F80" s="3">
        <f>WEEKDAY(61,1)</f>
        <v>5</v>
      </c>
      <c r="G80" s="8"/>
      <c r="H80" s="8"/>
      <c r="I80" s="8"/>
      <c r="J80" s="8"/>
      <c r="K80" s="8"/>
      <c r="L80" s="8"/>
      <c r="M80" s="6" t="s">
        <v>129</v>
      </c>
      <c r="N80" s="8"/>
      <c r="O80" s="9" t="s">
        <v>541</v>
      </c>
      <c r="P80" s="8"/>
    </row>
    <row r="81" spans="1:16" ht="18" customHeight="1">
      <c r="A81" s="8" t="s">
        <v>1817</v>
      </c>
      <c r="B81" s="8" t="s">
        <v>537</v>
      </c>
      <c r="C81" s="8" t="s">
        <v>538</v>
      </c>
      <c r="D81" s="8" t="s">
        <v>539</v>
      </c>
      <c r="E81" s="2" t="s">
        <v>1818</v>
      </c>
      <c r="F81" s="3" t="str">
        <f>TEXT(60,"yyyy-mm-dd")</f>
        <v>1900-02-29</v>
      </c>
      <c r="G81" s="8"/>
      <c r="H81" s="8"/>
      <c r="I81" s="8"/>
      <c r="J81" s="8"/>
      <c r="K81" s="8"/>
      <c r="L81" s="8"/>
      <c r="M81" s="6" t="s">
        <v>129</v>
      </c>
      <c r="N81" s="8"/>
      <c r="O81" s="9" t="s">
        <v>541</v>
      </c>
      <c r="P81" s="8"/>
    </row>
    <row r="82" spans="1:16" ht="18" customHeight="1">
      <c r="A82" s="8" t="s">
        <v>1819</v>
      </c>
      <c r="B82" s="8" t="s">
        <v>537</v>
      </c>
      <c r="C82" s="8" t="s">
        <v>538</v>
      </c>
      <c r="D82" s="8" t="s">
        <v>539</v>
      </c>
      <c r="E82" s="2" t="s">
        <v>1820</v>
      </c>
      <c r="F82" s="3">
        <f>DAY(60)</f>
        <v>29</v>
      </c>
      <c r="G82" s="8"/>
      <c r="H82" s="8"/>
      <c r="I82" s="8"/>
      <c r="J82" s="8"/>
      <c r="K82" s="8"/>
      <c r="L82" s="8"/>
      <c r="M82" s="6" t="s">
        <v>129</v>
      </c>
      <c r="N82" s="8"/>
      <c r="O82" s="9" t="s">
        <v>541</v>
      </c>
      <c r="P82" s="8"/>
    </row>
    <row r="83" spans="1:16" ht="18" customHeight="1">
      <c r="A83" s="8" t="s">
        <v>1821</v>
      </c>
      <c r="B83" s="8" t="s">
        <v>537</v>
      </c>
      <c r="C83" s="8" t="s">
        <v>538</v>
      </c>
      <c r="D83" s="8" t="s">
        <v>539</v>
      </c>
      <c r="E83" s="2" t="s">
        <v>1822</v>
      </c>
      <c r="F83" s="3">
        <f>YEARFRAC(DATE(2020,2,29),DATE(2024,2,29),1)</f>
        <v>3.9983579638752054</v>
      </c>
      <c r="G83" s="8"/>
      <c r="H83" s="8"/>
      <c r="I83" s="8"/>
      <c r="J83" s="8"/>
      <c r="K83" s="8"/>
      <c r="L83" s="8"/>
      <c r="M83" s="6" t="s">
        <v>129</v>
      </c>
      <c r="N83" s="8"/>
      <c r="O83" s="9" t="s">
        <v>541</v>
      </c>
      <c r="P83" s="8"/>
    </row>
    <row r="84" spans="1:16" ht="18" customHeight="1">
      <c r="A84" s="8" t="s">
        <v>1823</v>
      </c>
      <c r="B84" s="8" t="s">
        <v>537</v>
      </c>
      <c r="C84" s="8" t="s">
        <v>538</v>
      </c>
      <c r="D84" s="8" t="s">
        <v>539</v>
      </c>
      <c r="E84" s="2" t="s">
        <v>1824</v>
      </c>
      <c r="F84" s="3" t="str">
        <f>_xlfn.TEXTAFTER(_xlfn.TEXTBEFORE("alpha|beta|gamma","|",-1),"|")</f>
        <v>beta</v>
      </c>
      <c r="G84" s="8"/>
      <c r="H84" s="8"/>
      <c r="I84" s="8"/>
      <c r="J84" s="8"/>
      <c r="K84" s="8"/>
      <c r="L84" s="8"/>
      <c r="M84" s="6" t="s">
        <v>129</v>
      </c>
      <c r="N84" s="8"/>
      <c r="O84" s="9" t="s">
        <v>541</v>
      </c>
      <c r="P84" s="8"/>
    </row>
    <row r="85" spans="1:16" ht="18" customHeight="1">
      <c r="A85" s="8" t="s">
        <v>1825</v>
      </c>
      <c r="B85" s="8" t="s">
        <v>537</v>
      </c>
      <c r="C85" s="8" t="s">
        <v>538</v>
      </c>
      <c r="D85" s="8" t="s">
        <v>539</v>
      </c>
      <c r="E85" s="2" t="s">
        <v>1826</v>
      </c>
      <c r="F85" s="3" t="str">
        <f>_xlfn.REGEXREPLACE(LOWER(_xlfn.TEXTJOIN("-",TRUE,SharedData!$B$6:$B$10)),"[^a-z0-9-]","")</f>
        <v>k001-k002-k003-k004-k005</v>
      </c>
      <c r="G85" s="8"/>
      <c r="H85" s="8"/>
      <c r="I85" s="8"/>
      <c r="J85" s="8"/>
      <c r="K85" s="8"/>
      <c r="L85" s="8"/>
      <c r="M85" s="6" t="s">
        <v>129</v>
      </c>
      <c r="N85" s="3" t="str">
        <f>IF(ISERROR(F85),"ERROR "&amp;IFERROR(ERROR.TYPE(F85),""),"OK")</f>
        <v>OK</v>
      </c>
      <c r="O85" s="9" t="s">
        <v>541</v>
      </c>
      <c r="P85" s="8"/>
    </row>
    <row r="86" spans="1:16" ht="18" customHeight="1">
      <c r="A86" s="8" t="s">
        <v>1827</v>
      </c>
      <c r="B86" s="8" t="s">
        <v>537</v>
      </c>
      <c r="C86" s="8" t="s">
        <v>538</v>
      </c>
      <c r="D86" s="8" t="s">
        <v>539</v>
      </c>
      <c r="E86" s="2" t="s">
        <v>1828</v>
      </c>
      <c r="F86" s="3">
        <f>_xlfn.NUMBERVALUE(SUBSTITUTE("1 234,56"," ",""),",",".")</f>
        <v>1234.56</v>
      </c>
      <c r="G86" s="8"/>
      <c r="H86" s="8"/>
      <c r="I86" s="8"/>
      <c r="J86" s="8"/>
      <c r="K86" s="8"/>
      <c r="L86" s="8"/>
      <c r="M86" s="6" t="s">
        <v>129</v>
      </c>
      <c r="N86" s="8"/>
      <c r="O86" s="9" t="s">
        <v>541</v>
      </c>
      <c r="P86" s="8"/>
    </row>
    <row r="87" spans="1:16" ht="18" customHeight="1">
      <c r="A87" s="8" t="s">
        <v>1829</v>
      </c>
      <c r="B87" s="8" t="s">
        <v>537</v>
      </c>
      <c r="C87" s="8" t="s">
        <v>538</v>
      </c>
      <c r="D87" s="8" t="s">
        <v>539</v>
      </c>
      <c r="E87" s="2" t="s">
        <v>1830</v>
      </c>
      <c r="F87" s="3">
        <f>WORKDAY.INTL(DATE(2026,1,1),NETWORKDAYS(DATE(2026,1,1),DATE(2026,3,31)),1,SharedData!$D$8:$D$10)</f>
        <v>46113</v>
      </c>
      <c r="G87" s="8"/>
      <c r="H87" s="8"/>
      <c r="I87" s="8"/>
      <c r="J87" s="8"/>
      <c r="K87" s="8"/>
      <c r="L87" s="8"/>
      <c r="M87" s="6" t="s">
        <v>129</v>
      </c>
      <c r="N87" s="8"/>
      <c r="O87" s="9" t="s">
        <v>541</v>
      </c>
      <c r="P87" s="8"/>
    </row>
    <row r="88" spans="1:16" ht="18" customHeight="1">
      <c r="A88" s="8" t="s">
        <v>1831</v>
      </c>
      <c r="B88" s="8" t="s">
        <v>537</v>
      </c>
      <c r="C88" s="8" t="s">
        <v>538</v>
      </c>
      <c r="D88" s="8" t="s">
        <v>539</v>
      </c>
      <c r="E88" s="2" t="s">
        <v>1832</v>
      </c>
      <c r="F88" s="3" t="str">
        <f>DOLLAR(1.1-1,15)</f>
        <v>₩0.100000000000000</v>
      </c>
      <c r="G88" s="8"/>
      <c r="H88" s="8"/>
      <c r="I88" s="8"/>
      <c r="J88" s="8"/>
      <c r="K88" s="8"/>
      <c r="L88" s="8"/>
      <c r="M88" s="6" t="s">
        <v>129</v>
      </c>
      <c r="N88" s="8"/>
      <c r="O88" s="9" t="s">
        <v>541</v>
      </c>
      <c r="P88" s="8"/>
    </row>
    <row r="89" spans="1:16" ht="18" customHeight="1">
      <c r="A89" s="8" t="s">
        <v>1833</v>
      </c>
      <c r="B89" s="8" t="s">
        <v>537</v>
      </c>
      <c r="C89" s="8" t="s">
        <v>538</v>
      </c>
      <c r="D89" s="8" t="s">
        <v>539</v>
      </c>
      <c r="E89" s="2" t="s">
        <v>1834</v>
      </c>
      <c r="F89" s="3" t="str">
        <f>DOLLAR(1234.5,2)</f>
        <v>₩1,234.50</v>
      </c>
      <c r="G89" s="8"/>
      <c r="H89" s="8"/>
      <c r="I89" s="8"/>
      <c r="J89" s="8"/>
      <c r="K89" s="8"/>
      <c r="L89" s="8"/>
      <c r="M89" s="6" t="s">
        <v>129</v>
      </c>
      <c r="N89" s="8"/>
      <c r="O89" s="9" t="s">
        <v>541</v>
      </c>
      <c r="P89" s="3">
        <f>IFERROR(N(F89),0)+IFERROR(N(Lookup!$F$77),0)+ROW()/100000</f>
        <v>8.8999999999999995E-4</v>
      </c>
    </row>
    <row r="90" spans="1:16" ht="18" customHeight="1">
      <c r="A90" s="8" t="s">
        <v>1835</v>
      </c>
      <c r="B90" s="8" t="s">
        <v>537</v>
      </c>
      <c r="C90" s="8" t="s">
        <v>538</v>
      </c>
      <c r="D90" s="8" t="s">
        <v>539</v>
      </c>
      <c r="E90" s="2" t="s">
        <v>1836</v>
      </c>
      <c r="F90" s="3" t="str">
        <f>_xlfn.CONCAT(_xlfn.UNICHAR(9733)," ",PROPER(SharedData!$B$6)," ",TEXT(SharedData!$D$6,"yyyy-mm-dd"))</f>
        <v>★ K001 2020-01-01</v>
      </c>
      <c r="G90" s="8"/>
      <c r="H90" s="8"/>
      <c r="I90" s="8"/>
      <c r="J90" s="8"/>
      <c r="K90" s="8"/>
      <c r="L90" s="8"/>
      <c r="M90" s="6" t="s">
        <v>129</v>
      </c>
      <c r="N90" s="8"/>
      <c r="O90" s="9" t="s">
        <v>541</v>
      </c>
      <c r="P90" s="8"/>
    </row>
  </sheetData>
  <autoFilter ref="A4:P90" xr:uid="{00000000-0009-0000-0000-000009000000}"/>
  <mergeCells count="2">
    <mergeCell ref="A1:P1"/>
    <mergeCell ref="A2:P2"/>
  </mergeCells>
  <conditionalFormatting sqref="F5:F90">
    <cfRule type="containsErrors" dxfId="2" priority="1"/>
  </conditionalFormatting>
  <pageMargins left="0.3" right="0.3" top="0.5" bottom="0.5" header="0.2" footer="0.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9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1837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COUNTA(A5:A49)</f>
        <v>45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COUNTA(A5:A49)</f>
        <v>45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COUNTA(A5:A49)-COUNTIF(M5:M49,"excluded")</f>
        <v>43</v>
      </c>
    </row>
    <row r="5" spans="1:19" ht="18" customHeight="1">
      <c r="A5" s="8" t="s">
        <v>1838</v>
      </c>
      <c r="B5" s="8" t="s">
        <v>1839</v>
      </c>
      <c r="C5" s="8" t="s">
        <v>1840</v>
      </c>
      <c r="D5" s="8" t="s">
        <v>127</v>
      </c>
      <c r="E5" s="2" t="s">
        <v>1841</v>
      </c>
      <c r="F5" s="3" t="b">
        <f>AND(SharedData!$G$6:$G$10)</f>
        <v>0</v>
      </c>
      <c r="G5" s="8"/>
      <c r="H5" s="8"/>
      <c r="I5" s="8"/>
      <c r="J5" s="8"/>
      <c r="K5" s="8"/>
      <c r="L5" s="8"/>
      <c r="M5" s="6" t="s">
        <v>129</v>
      </c>
      <c r="N5" s="3" t="str">
        <f>IF(ISERROR(F5),"ERROR "&amp;IFERROR(ERROR.TYPE(F5),""),"OK")</f>
        <v>OK</v>
      </c>
      <c r="O5" s="9" t="s">
        <v>130</v>
      </c>
      <c r="P5" s="3">
        <f>IFERROR(N(F5),0)+IFERROR(N(TextDate!$F$5),0)+ROW()/100000</f>
        <v>5.0000000000000002E-5</v>
      </c>
      <c r="Q5" s="8"/>
      <c r="R5" s="8"/>
      <c r="S5" s="8"/>
    </row>
    <row r="6" spans="1:19" ht="18" customHeight="1">
      <c r="A6" s="8" t="s">
        <v>1842</v>
      </c>
      <c r="B6" s="8" t="s">
        <v>1839</v>
      </c>
      <c r="C6" s="8" t="s">
        <v>1843</v>
      </c>
      <c r="D6" s="8" t="s">
        <v>127</v>
      </c>
      <c r="E6" s="2" t="s">
        <v>1844</v>
      </c>
      <c r="F6" s="3">
        <f>ERROR.TYPE(NA())</f>
        <v>7</v>
      </c>
      <c r="G6" s="8"/>
      <c r="H6" s="8"/>
      <c r="I6" s="8"/>
      <c r="J6" s="8"/>
      <c r="K6" s="8"/>
      <c r="L6" s="8"/>
      <c r="M6" s="6" t="s">
        <v>129</v>
      </c>
      <c r="N6" s="8"/>
      <c r="O6" s="9" t="s">
        <v>130</v>
      </c>
      <c r="P6" s="8"/>
      <c r="Q6" s="8"/>
      <c r="R6" s="8"/>
      <c r="S6" s="8"/>
    </row>
    <row r="7" spans="1:19" ht="18" customHeight="1">
      <c r="A7" s="8" t="s">
        <v>1845</v>
      </c>
      <c r="B7" s="8" t="s">
        <v>1839</v>
      </c>
      <c r="C7" s="8" t="s">
        <v>1846</v>
      </c>
      <c r="D7" s="8" t="s">
        <v>137</v>
      </c>
      <c r="E7" s="2" t="s">
        <v>1847</v>
      </c>
      <c r="F7" s="3" t="b">
        <f>FALSE()</f>
        <v>0</v>
      </c>
      <c r="G7" s="8"/>
      <c r="H7" s="8"/>
      <c r="I7" s="8"/>
      <c r="J7" s="8"/>
      <c r="K7" s="8"/>
      <c r="L7" s="8"/>
      <c r="M7" s="6" t="s">
        <v>129</v>
      </c>
      <c r="N7" s="8"/>
      <c r="O7" s="9" t="s">
        <v>130</v>
      </c>
      <c r="P7" s="8"/>
      <c r="Q7" s="8"/>
      <c r="R7" s="8"/>
      <c r="S7" s="8"/>
    </row>
    <row r="8" spans="1:19" ht="18" customHeight="1">
      <c r="A8" s="8" t="s">
        <v>1848</v>
      </c>
      <c r="B8" s="8" t="s">
        <v>1839</v>
      </c>
      <c r="C8" s="8" t="s">
        <v>1849</v>
      </c>
      <c r="D8" s="8" t="s">
        <v>127</v>
      </c>
      <c r="E8" s="2" t="s">
        <v>1850</v>
      </c>
      <c r="F8" s="3" t="str">
        <f>IF(SharedData!$A$6+SharedData!$A$7-SharedData!$A$8=0,"cancelled","residue")</f>
        <v>residue</v>
      </c>
      <c r="G8" s="8"/>
      <c r="H8" s="8"/>
      <c r="I8" s="8"/>
      <c r="J8" s="8"/>
      <c r="K8" s="8"/>
      <c r="L8" s="8"/>
      <c r="M8" s="6" t="s">
        <v>129</v>
      </c>
      <c r="N8" s="8"/>
      <c r="O8" s="9" t="s">
        <v>130</v>
      </c>
      <c r="P8" s="8"/>
      <c r="Q8" s="8"/>
      <c r="R8" s="8"/>
      <c r="S8" s="8"/>
    </row>
    <row r="9" spans="1:19" ht="18" customHeight="1">
      <c r="A9" s="8" t="s">
        <v>1851</v>
      </c>
      <c r="B9" s="8" t="s">
        <v>1839</v>
      </c>
      <c r="C9" s="8" t="s">
        <v>1852</v>
      </c>
      <c r="D9" s="8" t="s">
        <v>127</v>
      </c>
      <c r="E9" s="2" t="s">
        <v>1853</v>
      </c>
      <c r="F9" s="3" t="str">
        <f>IFERROR(1/0,"caught")</f>
        <v>caught</v>
      </c>
      <c r="G9" s="8"/>
      <c r="H9" s="8"/>
      <c r="I9" s="8"/>
      <c r="J9" s="8"/>
      <c r="K9" s="8"/>
      <c r="L9" s="8"/>
      <c r="M9" s="6" t="s">
        <v>129</v>
      </c>
      <c r="N9" s="8"/>
      <c r="O9" s="9" t="s">
        <v>130</v>
      </c>
      <c r="P9" s="8"/>
      <c r="Q9" s="8"/>
      <c r="R9" s="8"/>
      <c r="S9" s="8"/>
    </row>
    <row r="10" spans="1:19" ht="18" customHeight="1">
      <c r="A10" s="8" t="s">
        <v>1854</v>
      </c>
      <c r="B10" s="8" t="s">
        <v>1839</v>
      </c>
      <c r="C10" s="8" t="s">
        <v>1855</v>
      </c>
      <c r="D10" s="8" t="s">
        <v>127</v>
      </c>
      <c r="E10" s="2" t="s">
        <v>1856</v>
      </c>
      <c r="F10" s="3" t="str">
        <f>_xlfn.IFNA(_xlfn.XLOOKUP("missing",SharedData!$B$6:$B$25,SharedData!$E$6:$E$25),"not found")</f>
        <v>not found</v>
      </c>
      <c r="G10" s="8"/>
      <c r="H10" s="8"/>
      <c r="I10" s="8"/>
      <c r="J10" s="8"/>
      <c r="K10" s="8"/>
      <c r="L10" s="8"/>
      <c r="M10" s="6" t="s">
        <v>129</v>
      </c>
      <c r="N10" s="8"/>
      <c r="O10" s="9" t="s">
        <v>130</v>
      </c>
      <c r="P10" s="8"/>
      <c r="Q10" s="8"/>
      <c r="R10" s="8"/>
      <c r="S10" s="8"/>
    </row>
    <row r="11" spans="1:19" ht="18" customHeight="1">
      <c r="A11" s="8" t="s">
        <v>1857</v>
      </c>
      <c r="B11" s="8" t="s">
        <v>1839</v>
      </c>
      <c r="C11" s="8" t="s">
        <v>1858</v>
      </c>
      <c r="D11" s="8" t="s">
        <v>127</v>
      </c>
      <c r="E11" s="2" t="s">
        <v>1859</v>
      </c>
      <c r="F11" s="3" t="str">
        <f>_xlfn.IFS(SharedData!$E$6&gt;150,"high",SharedData!$E$6&gt;50,"mid",TRUE,"low")</f>
        <v>low</v>
      </c>
      <c r="G11" s="8"/>
      <c r="H11" s="8"/>
      <c r="I11" s="8"/>
      <c r="J11" s="8"/>
      <c r="K11" s="8"/>
      <c r="L11" s="8"/>
      <c r="M11" s="6" t="s">
        <v>129</v>
      </c>
      <c r="N11" s="8"/>
      <c r="O11" s="9" t="s">
        <v>130</v>
      </c>
      <c r="P11" s="8"/>
      <c r="Q11" s="8"/>
      <c r="R11" s="8"/>
      <c r="S11" s="8"/>
    </row>
    <row r="12" spans="1:19" ht="18" customHeight="1">
      <c r="A12" s="8" t="s">
        <v>1860</v>
      </c>
      <c r="B12" s="8" t="s">
        <v>1839</v>
      </c>
      <c r="C12" s="8" t="s">
        <v>1861</v>
      </c>
      <c r="D12" s="8" t="s">
        <v>127</v>
      </c>
      <c r="E12" s="2" t="s">
        <v>1862</v>
      </c>
      <c r="F12" s="3" t="b">
        <f>ISBLANK(SharedData!$H$6)</f>
        <v>1</v>
      </c>
      <c r="G12" s="8"/>
      <c r="H12" s="8"/>
      <c r="I12" s="8"/>
      <c r="J12" s="8"/>
      <c r="K12" s="8"/>
      <c r="L12" s="8"/>
      <c r="M12" s="6" t="s">
        <v>129</v>
      </c>
      <c r="N12" s="8"/>
      <c r="O12" s="9" t="s">
        <v>130</v>
      </c>
      <c r="P12" s="8"/>
      <c r="Q12" s="8"/>
      <c r="R12" s="8"/>
      <c r="S12" s="8"/>
    </row>
    <row r="13" spans="1:19" ht="18" customHeight="1">
      <c r="A13" s="8" t="s">
        <v>1863</v>
      </c>
      <c r="B13" s="8" t="s">
        <v>1839</v>
      </c>
      <c r="C13" s="8" t="s">
        <v>1864</v>
      </c>
      <c r="D13" s="8" t="s">
        <v>127</v>
      </c>
      <c r="E13" s="2" t="s">
        <v>1865</v>
      </c>
      <c r="F13" s="3" t="b">
        <f>ISERR(1/0)</f>
        <v>1</v>
      </c>
      <c r="G13" s="8"/>
      <c r="H13" s="8"/>
      <c r="I13" s="8"/>
      <c r="J13" s="8"/>
      <c r="K13" s="8"/>
      <c r="L13" s="8"/>
      <c r="M13" s="6" t="s">
        <v>129</v>
      </c>
      <c r="N13" s="3" t="str">
        <f>IF(ISERROR(F13),"ERROR "&amp;IFERROR(ERROR.TYPE(F13),""),"OK")</f>
        <v>OK</v>
      </c>
      <c r="O13" s="9" t="s">
        <v>130</v>
      </c>
      <c r="P13" s="8"/>
      <c r="Q13" s="8"/>
      <c r="R13" s="8"/>
      <c r="S13" s="8"/>
    </row>
    <row r="14" spans="1:19" ht="18" customHeight="1">
      <c r="A14" s="8" t="s">
        <v>1866</v>
      </c>
      <c r="B14" s="8" t="s">
        <v>1839</v>
      </c>
      <c r="C14" s="8" t="s">
        <v>1867</v>
      </c>
      <c r="D14" s="8" t="s">
        <v>127</v>
      </c>
      <c r="E14" s="2" t="s">
        <v>1868</v>
      </c>
      <c r="F14" s="3" t="b">
        <f>ISERROR(NA())</f>
        <v>1</v>
      </c>
      <c r="G14" s="8"/>
      <c r="H14" s="8"/>
      <c r="I14" s="8"/>
      <c r="J14" s="8"/>
      <c r="K14" s="8"/>
      <c r="L14" s="8"/>
      <c r="M14" s="6" t="s">
        <v>129</v>
      </c>
      <c r="N14" s="8"/>
      <c r="O14" s="9" t="s">
        <v>130</v>
      </c>
      <c r="P14" s="8"/>
      <c r="Q14" s="8"/>
      <c r="R14" s="8"/>
      <c r="S14" s="8"/>
    </row>
    <row r="15" spans="1:19" ht="18" customHeight="1">
      <c r="A15" s="8" t="s">
        <v>1869</v>
      </c>
      <c r="B15" s="8" t="s">
        <v>1839</v>
      </c>
      <c r="C15" s="8" t="s">
        <v>1870</v>
      </c>
      <c r="D15" s="8" t="s">
        <v>127</v>
      </c>
      <c r="E15" s="2" t="s">
        <v>1871</v>
      </c>
      <c r="F15" s="3" t="b">
        <f>ISEVEN(SharedData!$E$6)</f>
        <v>1</v>
      </c>
      <c r="G15" s="8"/>
      <c r="H15" s="8"/>
      <c r="I15" s="8"/>
      <c r="J15" s="8"/>
      <c r="K15" s="8"/>
      <c r="L15" s="8"/>
      <c r="M15" s="6" t="s">
        <v>129</v>
      </c>
      <c r="N15" s="8"/>
      <c r="O15" s="9" t="s">
        <v>130</v>
      </c>
      <c r="P15" s="8"/>
      <c r="Q15" s="8"/>
      <c r="R15" s="8"/>
      <c r="S15" s="8"/>
    </row>
    <row r="16" spans="1:19" ht="18" customHeight="1">
      <c r="A16" s="8" t="s">
        <v>1872</v>
      </c>
      <c r="B16" s="8" t="s">
        <v>1839</v>
      </c>
      <c r="C16" s="8" t="s">
        <v>1873</v>
      </c>
      <c r="D16" s="8" t="s">
        <v>127</v>
      </c>
      <c r="E16" s="2" t="s">
        <v>1874</v>
      </c>
      <c r="F16" s="3" t="b">
        <f>ISLOGICAL(SharedData!$G$6)</f>
        <v>1</v>
      </c>
      <c r="G16" s="8"/>
      <c r="H16" s="8"/>
      <c r="I16" s="8"/>
      <c r="J16" s="8"/>
      <c r="K16" s="8"/>
      <c r="L16" s="8"/>
      <c r="M16" s="6" t="s">
        <v>129</v>
      </c>
      <c r="N16" s="8"/>
      <c r="O16" s="9" t="s">
        <v>130</v>
      </c>
      <c r="P16" s="8"/>
      <c r="Q16" s="8"/>
      <c r="R16" s="8"/>
      <c r="S16" s="8"/>
    </row>
    <row r="17" spans="1:16" ht="18" customHeight="1">
      <c r="A17" s="8" t="s">
        <v>1875</v>
      </c>
      <c r="B17" s="8" t="s">
        <v>1839</v>
      </c>
      <c r="C17" s="8" t="s">
        <v>1876</v>
      </c>
      <c r="D17" s="8" t="s">
        <v>127</v>
      </c>
      <c r="E17" s="2" t="s">
        <v>1877</v>
      </c>
      <c r="F17" s="3" t="b">
        <f>ISNA(NA())</f>
        <v>1</v>
      </c>
      <c r="G17" s="8"/>
      <c r="H17" s="8"/>
      <c r="I17" s="8"/>
      <c r="J17" s="8"/>
      <c r="K17" s="8"/>
      <c r="L17" s="8"/>
      <c r="M17" s="6" t="s">
        <v>129</v>
      </c>
      <c r="N17" s="8"/>
      <c r="O17" s="9" t="s">
        <v>130</v>
      </c>
      <c r="P17" s="3">
        <f>IFERROR(N(F17),0)+IFERROR(N(TextDate!$F$5),0)+ROW()/100000</f>
        <v>1.00017</v>
      </c>
    </row>
    <row r="18" spans="1:16" ht="18" customHeight="1">
      <c r="A18" s="8" t="s">
        <v>1878</v>
      </c>
      <c r="B18" s="8" t="s">
        <v>1839</v>
      </c>
      <c r="C18" s="8" t="s">
        <v>1879</v>
      </c>
      <c r="D18" s="8" t="s">
        <v>127</v>
      </c>
      <c r="E18" s="2" t="s">
        <v>1880</v>
      </c>
      <c r="F18" s="3" t="b">
        <f>ISNONTEXT(SharedData!$E$6)</f>
        <v>1</v>
      </c>
      <c r="G18" s="8"/>
      <c r="H18" s="8"/>
      <c r="I18" s="8"/>
      <c r="J18" s="8"/>
      <c r="K18" s="8"/>
      <c r="L18" s="8"/>
      <c r="M18" s="6" t="s">
        <v>129</v>
      </c>
      <c r="N18" s="8"/>
      <c r="O18" s="9" t="s">
        <v>130</v>
      </c>
      <c r="P18" s="8"/>
    </row>
    <row r="19" spans="1:16" ht="18" customHeight="1">
      <c r="A19" s="8" t="s">
        <v>1881</v>
      </c>
      <c r="B19" s="8" t="s">
        <v>1839</v>
      </c>
      <c r="C19" s="8" t="s">
        <v>1882</v>
      </c>
      <c r="D19" s="8" t="s">
        <v>127</v>
      </c>
      <c r="E19" s="2" t="s">
        <v>1883</v>
      </c>
      <c r="F19" s="3" t="b">
        <f>ISNUMBER(SharedData!$A$6)</f>
        <v>1</v>
      </c>
      <c r="G19" s="8"/>
      <c r="H19" s="8"/>
      <c r="I19" s="8"/>
      <c r="J19" s="8"/>
      <c r="K19" s="8"/>
      <c r="L19" s="8"/>
      <c r="M19" s="6" t="s">
        <v>129</v>
      </c>
      <c r="N19" s="8"/>
      <c r="O19" s="9" t="s">
        <v>130</v>
      </c>
      <c r="P19" s="8"/>
    </row>
    <row r="20" spans="1:16" ht="18" customHeight="1">
      <c r="A20" s="8" t="s">
        <v>1884</v>
      </c>
      <c r="B20" s="8" t="s">
        <v>1839</v>
      </c>
      <c r="C20" s="8" t="s">
        <v>1885</v>
      </c>
      <c r="D20" s="8" t="s">
        <v>127</v>
      </c>
      <c r="E20" s="2" t="s">
        <v>1886</v>
      </c>
      <c r="F20" s="3" t="b">
        <f>ISODD(SharedData!$E$7)</f>
        <v>0</v>
      </c>
      <c r="G20" s="8"/>
      <c r="H20" s="8"/>
      <c r="I20" s="8"/>
      <c r="J20" s="8"/>
      <c r="K20" s="8"/>
      <c r="L20" s="8"/>
      <c r="M20" s="6" t="s">
        <v>129</v>
      </c>
      <c r="N20" s="8"/>
      <c r="O20" s="9" t="s">
        <v>130</v>
      </c>
      <c r="P20" s="8"/>
    </row>
    <row r="21" spans="1:16" ht="18" customHeight="1">
      <c r="A21" s="8" t="s">
        <v>1887</v>
      </c>
      <c r="B21" s="8" t="s">
        <v>1839</v>
      </c>
      <c r="C21" s="8" t="s">
        <v>1888</v>
      </c>
      <c r="D21" s="8" t="s">
        <v>127</v>
      </c>
      <c r="E21" s="2" t="s">
        <v>1889</v>
      </c>
      <c r="F21" s="3" t="e" vm="4">
        <f>_xlfn.LAMBDA(_xlpm.x,IF(_xlfn.ISOMITTED(_xlpm.x),"omitted",_xlpm.x))()</f>
        <v>#VALUE!</v>
      </c>
      <c r="G21" s="8"/>
      <c r="H21" s="8"/>
      <c r="I21" s="8"/>
      <c r="J21" s="8"/>
      <c r="K21" s="8"/>
      <c r="L21" s="8"/>
      <c r="M21" s="6" t="s">
        <v>129</v>
      </c>
      <c r="N21" s="3" t="str">
        <f>IF(ISERROR(F21),"ERROR "&amp;IFERROR(ERROR.TYPE(F21),""),"OK")</f>
        <v>ERROR 3</v>
      </c>
      <c r="O21" s="9" t="s">
        <v>130</v>
      </c>
      <c r="P21" s="8"/>
    </row>
    <row r="22" spans="1:16" ht="18" customHeight="1">
      <c r="A22" s="8" t="s">
        <v>1890</v>
      </c>
      <c r="B22" s="8" t="s">
        <v>1839</v>
      </c>
      <c r="C22" s="8" t="s">
        <v>1891</v>
      </c>
      <c r="D22" s="8" t="s">
        <v>127</v>
      </c>
      <c r="E22" s="2" t="s">
        <v>1892</v>
      </c>
      <c r="F22" s="3" t="b">
        <f>ISTEXT(SharedData!$B$6)</f>
        <v>1</v>
      </c>
      <c r="G22" s="8"/>
      <c r="H22" s="8"/>
      <c r="I22" s="8"/>
      <c r="J22" s="8"/>
      <c r="K22" s="8"/>
      <c r="L22" s="8"/>
      <c r="M22" s="6" t="s">
        <v>129</v>
      </c>
      <c r="N22" s="8"/>
      <c r="O22" s="9" t="s">
        <v>130</v>
      </c>
      <c r="P22" s="8"/>
    </row>
    <row r="23" spans="1:16" ht="18" customHeight="1">
      <c r="A23" s="8" t="s">
        <v>1893</v>
      </c>
      <c r="B23" s="8" t="s">
        <v>1839</v>
      </c>
      <c r="C23" s="8" t="s">
        <v>1894</v>
      </c>
      <c r="D23" s="8" t="s">
        <v>127</v>
      </c>
      <c r="E23" s="2" t="s">
        <v>1895</v>
      </c>
      <c r="F23" s="3">
        <f>N(SharedData!$G$6)</f>
        <v>1</v>
      </c>
      <c r="G23" s="8"/>
      <c r="H23" s="8"/>
      <c r="I23" s="8"/>
      <c r="J23" s="8"/>
      <c r="K23" s="8"/>
      <c r="L23" s="8"/>
      <c r="M23" s="6" t="s">
        <v>129</v>
      </c>
      <c r="N23" s="8"/>
      <c r="O23" s="9" t="s">
        <v>130</v>
      </c>
      <c r="P23" s="8"/>
    </row>
    <row r="24" spans="1:16" ht="18" customHeight="1">
      <c r="A24" s="8" t="s">
        <v>1896</v>
      </c>
      <c r="B24" s="8" t="s">
        <v>1839</v>
      </c>
      <c r="C24" s="8" t="s">
        <v>1897</v>
      </c>
      <c r="D24" s="8" t="s">
        <v>127</v>
      </c>
      <c r="E24" s="2" t="s">
        <v>1898</v>
      </c>
      <c r="F24" s="3" t="e">
        <f>NA()</f>
        <v>#N/A</v>
      </c>
      <c r="G24" s="8"/>
      <c r="H24" s="8"/>
      <c r="I24" s="8"/>
      <c r="J24" s="8"/>
      <c r="K24" s="8"/>
      <c r="L24" s="8"/>
      <c r="M24" s="6" t="s">
        <v>129</v>
      </c>
      <c r="N24" s="8"/>
      <c r="O24" s="9" t="s">
        <v>130</v>
      </c>
      <c r="P24" s="8"/>
    </row>
    <row r="25" spans="1:16" ht="18" customHeight="1">
      <c r="A25" s="8" t="s">
        <v>1899</v>
      </c>
      <c r="B25" s="8" t="s">
        <v>1839</v>
      </c>
      <c r="C25" s="8" t="s">
        <v>1900</v>
      </c>
      <c r="D25" s="8" t="s">
        <v>137</v>
      </c>
      <c r="E25" s="2" t="s">
        <v>1901</v>
      </c>
      <c r="F25" s="3" t="b">
        <f>NOT(SharedData!$G$6)</f>
        <v>0</v>
      </c>
      <c r="G25" s="8"/>
      <c r="H25" s="8"/>
      <c r="I25" s="8"/>
      <c r="J25" s="8"/>
      <c r="K25" s="8"/>
      <c r="L25" s="8"/>
      <c r="M25" s="6" t="s">
        <v>129</v>
      </c>
      <c r="N25" s="8"/>
      <c r="O25" s="9" t="s">
        <v>130</v>
      </c>
      <c r="P25" s="8"/>
    </row>
    <row r="26" spans="1:16" ht="18" customHeight="1">
      <c r="A26" s="8" t="s">
        <v>1902</v>
      </c>
      <c r="B26" s="8" t="s">
        <v>1839</v>
      </c>
      <c r="C26" s="8" t="s">
        <v>1903</v>
      </c>
      <c r="D26" s="8" t="s">
        <v>133</v>
      </c>
      <c r="E26" s="2" t="s">
        <v>1904</v>
      </c>
      <c r="F26" s="3" t="b">
        <f>OR(TRUE,FALSE)</f>
        <v>1</v>
      </c>
      <c r="G26" s="8"/>
      <c r="H26" s="8"/>
      <c r="I26" s="8"/>
      <c r="J26" s="8"/>
      <c r="K26" s="8"/>
      <c r="L26" s="8"/>
      <c r="M26" s="6" t="s">
        <v>129</v>
      </c>
      <c r="N26" s="8"/>
      <c r="O26" s="9" t="s">
        <v>130</v>
      </c>
      <c r="P26" s="8"/>
    </row>
    <row r="27" spans="1:16" ht="18" customHeight="1">
      <c r="A27" s="8" t="s">
        <v>1905</v>
      </c>
      <c r="B27" s="8" t="s">
        <v>1839</v>
      </c>
      <c r="C27" s="8" t="s">
        <v>1906</v>
      </c>
      <c r="D27" s="8" t="s">
        <v>127</v>
      </c>
      <c r="E27" s="2" t="s">
        <v>1907</v>
      </c>
      <c r="F27" s="3">
        <f>_xlfn.SWITCH(SharedData!$C$6,"A",1,"B",2,"C",3,0)</f>
        <v>1</v>
      </c>
      <c r="G27" s="8"/>
      <c r="H27" s="8"/>
      <c r="I27" s="8"/>
      <c r="J27" s="8"/>
      <c r="K27" s="8"/>
      <c r="L27" s="8"/>
      <c r="M27" s="6" t="s">
        <v>129</v>
      </c>
      <c r="N27" s="8"/>
      <c r="O27" s="9" t="s">
        <v>130</v>
      </c>
      <c r="P27" s="8"/>
    </row>
    <row r="28" spans="1:16" ht="18" customHeight="1">
      <c r="A28" s="8" t="s">
        <v>1908</v>
      </c>
      <c r="B28" s="8" t="s">
        <v>1839</v>
      </c>
      <c r="C28" s="8" t="s">
        <v>1909</v>
      </c>
      <c r="D28" s="8" t="s">
        <v>137</v>
      </c>
      <c r="E28" s="2" t="s">
        <v>1910</v>
      </c>
      <c r="F28" s="3" t="b">
        <f>TRUE()</f>
        <v>1</v>
      </c>
      <c r="G28" s="8"/>
      <c r="H28" s="8"/>
      <c r="I28" s="8"/>
      <c r="J28" s="8"/>
      <c r="K28" s="8"/>
      <c r="L28" s="8"/>
      <c r="M28" s="6" t="s">
        <v>129</v>
      </c>
      <c r="N28" s="8"/>
      <c r="O28" s="9" t="s">
        <v>130</v>
      </c>
      <c r="P28" s="8"/>
    </row>
    <row r="29" spans="1:16" ht="18" customHeight="1">
      <c r="A29" s="8" t="s">
        <v>1911</v>
      </c>
      <c r="B29" s="8" t="s">
        <v>1839</v>
      </c>
      <c r="C29" s="8" t="s">
        <v>1912</v>
      </c>
      <c r="D29" s="8" t="s">
        <v>137</v>
      </c>
      <c r="E29" s="2" t="s">
        <v>1913</v>
      </c>
      <c r="F29" s="3">
        <f>TYPE(SharedData!$E$6)</f>
        <v>1</v>
      </c>
      <c r="G29" s="8"/>
      <c r="H29" s="8"/>
      <c r="I29" s="8"/>
      <c r="J29" s="8"/>
      <c r="K29" s="8"/>
      <c r="L29" s="8"/>
      <c r="M29" s="6" t="s">
        <v>129</v>
      </c>
      <c r="N29" s="3" t="str">
        <f>IF(ISERROR(F29),"ERROR "&amp;IFERROR(ERROR.TYPE(F29),""),"OK")</f>
        <v>OK</v>
      </c>
      <c r="O29" s="9" t="s">
        <v>130</v>
      </c>
      <c r="P29" s="3">
        <f>IFERROR(N(F29),0)+IFERROR(N(TextDate!$F$17),0)+ROW()/100000</f>
        <v>590.00028999999995</v>
      </c>
    </row>
    <row r="30" spans="1:16" ht="18" customHeight="1">
      <c r="A30" s="8" t="s">
        <v>1914</v>
      </c>
      <c r="B30" s="8" t="s">
        <v>1839</v>
      </c>
      <c r="C30" s="8" t="s">
        <v>1915</v>
      </c>
      <c r="D30" s="8" t="s">
        <v>133</v>
      </c>
      <c r="E30" s="2" t="s">
        <v>1916</v>
      </c>
      <c r="F30" s="3" t="b">
        <f>_xlfn.XOR(TRUE,FALSE)</f>
        <v>1</v>
      </c>
      <c r="G30" s="8"/>
      <c r="H30" s="8"/>
      <c r="I30" s="8"/>
      <c r="J30" s="8"/>
      <c r="K30" s="8"/>
      <c r="L30" s="8"/>
      <c r="M30" s="6" t="s">
        <v>129</v>
      </c>
      <c r="N30" s="8"/>
      <c r="O30" s="9" t="s">
        <v>130</v>
      </c>
      <c r="P30" s="8"/>
    </row>
    <row r="31" spans="1:16" ht="18" customHeight="1">
      <c r="A31" s="8" t="s">
        <v>1917</v>
      </c>
      <c r="B31" s="8" t="s">
        <v>537</v>
      </c>
      <c r="C31" s="8" t="s">
        <v>538</v>
      </c>
      <c r="D31" s="8" t="s">
        <v>539</v>
      </c>
      <c r="E31" s="2" t="s">
        <v>1918</v>
      </c>
      <c r="F31" s="3" t="e">
        <f>1/0</f>
        <v>#DIV/0!</v>
      </c>
      <c r="G31" s="8"/>
      <c r="H31" s="8"/>
      <c r="I31" s="8"/>
      <c r="J31" s="8"/>
      <c r="K31" s="8"/>
      <c r="L31" s="8"/>
      <c r="M31" s="6" t="s">
        <v>129</v>
      </c>
      <c r="N31" s="8"/>
      <c r="O31" s="9" t="s">
        <v>541</v>
      </c>
      <c r="P31" s="8"/>
    </row>
    <row r="32" spans="1:16" ht="18" customHeight="1">
      <c r="A32" s="8" t="s">
        <v>1919</v>
      </c>
      <c r="B32" s="8" t="s">
        <v>537</v>
      </c>
      <c r="C32" s="8" t="s">
        <v>538</v>
      </c>
      <c r="D32" s="8" t="s">
        <v>539</v>
      </c>
      <c r="E32" s="2" t="s">
        <v>1920</v>
      </c>
      <c r="F32" s="3" t="e">
        <f>0/0</f>
        <v>#DIV/0!</v>
      </c>
      <c r="G32" s="8"/>
      <c r="H32" s="8"/>
      <c r="I32" s="8"/>
      <c r="J32" s="8"/>
      <c r="K32" s="8"/>
      <c r="L32" s="8"/>
      <c r="M32" s="6" t="s">
        <v>129</v>
      </c>
      <c r="N32" s="8"/>
      <c r="O32" s="9" t="s">
        <v>541</v>
      </c>
      <c r="P32" s="8"/>
    </row>
    <row r="33" spans="1:16" ht="18" customHeight="1">
      <c r="A33" s="8" t="s">
        <v>1921</v>
      </c>
      <c r="B33" s="8" t="s">
        <v>537</v>
      </c>
      <c r="C33" s="8" t="s">
        <v>538</v>
      </c>
      <c r="D33" s="8" t="s">
        <v>539</v>
      </c>
      <c r="E33" s="2" t="s">
        <v>1922</v>
      </c>
      <c r="F33" s="3" t="e">
        <f>SQRT(-1)</f>
        <v>#NUM!</v>
      </c>
      <c r="G33" s="8"/>
      <c r="H33" s="8"/>
      <c r="I33" s="8"/>
      <c r="J33" s="8"/>
      <c r="K33" s="8"/>
      <c r="L33" s="8"/>
      <c r="M33" s="6" t="s">
        <v>129</v>
      </c>
      <c r="N33" s="8"/>
      <c r="O33" s="9" t="s">
        <v>541</v>
      </c>
      <c r="P33" s="8"/>
    </row>
    <row r="34" spans="1:16" ht="18" customHeight="1">
      <c r="A34" s="8" t="s">
        <v>1923</v>
      </c>
      <c r="B34" s="8" t="s">
        <v>537</v>
      </c>
      <c r="C34" s="8" t="s">
        <v>538</v>
      </c>
      <c r="D34" s="8" t="s">
        <v>539</v>
      </c>
      <c r="E34" s="2" t="s">
        <v>1924</v>
      </c>
      <c r="F34" s="3" t="e">
        <f>MATCH("missing",SharedData!$B$6:$B$25,0)</f>
        <v>#N/A</v>
      </c>
      <c r="G34" s="8"/>
      <c r="H34" s="8"/>
      <c r="I34" s="8"/>
      <c r="J34" s="8"/>
      <c r="K34" s="8"/>
      <c r="L34" s="8"/>
      <c r="M34" s="6" t="s">
        <v>129</v>
      </c>
      <c r="N34" s="8"/>
      <c r="O34" s="9" t="s">
        <v>541</v>
      </c>
      <c r="P34" s="8"/>
    </row>
    <row r="35" spans="1:16" ht="18" customHeight="1">
      <c r="A35" s="8" t="s">
        <v>1925</v>
      </c>
      <c r="B35" s="8" t="s">
        <v>537</v>
      </c>
      <c r="C35" s="8" t="s">
        <v>538</v>
      </c>
      <c r="D35" s="8" t="s">
        <v>539</v>
      </c>
      <c r="E35" s="2" t="s">
        <v>1926</v>
      </c>
      <c r="F35" s="3" t="e">
        <f>INDEX(SharedData!$E$6:$E$25,999)</f>
        <v>#REF!</v>
      </c>
      <c r="G35" s="8"/>
      <c r="H35" s="8"/>
      <c r="I35" s="8"/>
      <c r="J35" s="8"/>
      <c r="K35" s="8"/>
      <c r="L35" s="8"/>
      <c r="M35" s="6" t="s">
        <v>129</v>
      </c>
      <c r="N35" s="8"/>
      <c r="O35" s="9" t="s">
        <v>541</v>
      </c>
      <c r="P35" s="8"/>
    </row>
    <row r="36" spans="1:16" ht="18" customHeight="1">
      <c r="A36" s="8" t="s">
        <v>1927</v>
      </c>
      <c r="B36" s="8" t="s">
        <v>537</v>
      </c>
      <c r="C36" s="8" t="s">
        <v>538</v>
      </c>
      <c r="D36" s="8" t="s">
        <v>539</v>
      </c>
      <c r="E36" s="2" t="s">
        <v>1928</v>
      </c>
      <c r="F36" s="3" t="e">
        <f>VALUE("not a number")</f>
        <v>#VALUE!</v>
      </c>
      <c r="G36" s="8"/>
      <c r="H36" s="8"/>
      <c r="I36" s="8"/>
      <c r="J36" s="8"/>
      <c r="K36" s="8"/>
      <c r="L36" s="8"/>
      <c r="M36" s="6" t="s">
        <v>129</v>
      </c>
      <c r="N36" s="8"/>
      <c r="O36" s="9" t="s">
        <v>541</v>
      </c>
      <c r="P36" s="8"/>
    </row>
    <row r="37" spans="1:16" ht="18" customHeight="1">
      <c r="A37" s="8" t="s">
        <v>1929</v>
      </c>
      <c r="B37" s="8" t="s">
        <v>537</v>
      </c>
      <c r="C37" s="8" t="s">
        <v>538</v>
      </c>
      <c r="D37" s="8" t="s">
        <v>539</v>
      </c>
      <c r="E37" s="2" t="s">
        <v>1930</v>
      </c>
      <c r="F37" s="3" t="e">
        <f ca="1">NONEXISTENTFUNC(1)</f>
        <v>#NAME?</v>
      </c>
      <c r="G37" s="8"/>
      <c r="H37" s="8"/>
      <c r="I37" s="8"/>
      <c r="J37" s="8"/>
      <c r="K37" s="8"/>
      <c r="L37" s="8"/>
      <c r="M37" s="6" t="s">
        <v>129</v>
      </c>
      <c r="N37" s="3" t="str">
        <f ca="1">IF(ISERROR(F37),"ERROR "&amp;IFERROR(ERROR.TYPE(F37),""),"OK")</f>
        <v>ERROR 5</v>
      </c>
      <c r="O37" s="9" t="s">
        <v>541</v>
      </c>
      <c r="P37" s="8"/>
    </row>
    <row r="38" spans="1:16" ht="18" customHeight="1">
      <c r="A38" s="8" t="s">
        <v>1931</v>
      </c>
      <c r="B38" s="8" t="s">
        <v>537</v>
      </c>
      <c r="C38" s="8" t="s">
        <v>538</v>
      </c>
      <c r="D38" s="8" t="s">
        <v>539</v>
      </c>
      <c r="E38" s="2" t="s">
        <v>1932</v>
      </c>
      <c r="F38" s="3" t="str">
        <f>_xlfn.IFNA(NA(),"caught-na")</f>
        <v>caught-na</v>
      </c>
      <c r="G38" s="8"/>
      <c r="H38" s="8"/>
      <c r="I38" s="8"/>
      <c r="J38" s="8"/>
      <c r="K38" s="8"/>
      <c r="L38" s="8"/>
      <c r="M38" s="6" t="s">
        <v>129</v>
      </c>
      <c r="N38" s="8"/>
      <c r="O38" s="9" t="s">
        <v>541</v>
      </c>
      <c r="P38" s="8"/>
    </row>
    <row r="39" spans="1:16" ht="18" customHeight="1">
      <c r="A39" s="8" t="s">
        <v>1933</v>
      </c>
      <c r="B39" s="8" t="s">
        <v>537</v>
      </c>
      <c r="C39" s="8" t="s">
        <v>538</v>
      </c>
      <c r="D39" s="8" t="s">
        <v>539</v>
      </c>
      <c r="E39" s="2" t="s">
        <v>1934</v>
      </c>
      <c r="F39" s="3" t="e">
        <f>_xlfn.IFNA(1/0,"not-reached")</f>
        <v>#DIV/0!</v>
      </c>
      <c r="G39" s="8"/>
      <c r="H39" s="8"/>
      <c r="I39" s="8"/>
      <c r="J39" s="8"/>
      <c r="K39" s="8"/>
      <c r="L39" s="8"/>
      <c r="M39" s="6" t="s">
        <v>129</v>
      </c>
      <c r="N39" s="8"/>
      <c r="O39" s="9" t="s">
        <v>541</v>
      </c>
      <c r="P39" s="8"/>
    </row>
    <row r="40" spans="1:16" ht="18" customHeight="1">
      <c r="A40" s="8" t="s">
        <v>1935</v>
      </c>
      <c r="B40" s="8" t="s">
        <v>537</v>
      </c>
      <c r="C40" s="8" t="s">
        <v>538</v>
      </c>
      <c r="D40" s="8" t="s">
        <v>539</v>
      </c>
      <c r="E40" s="2" t="s">
        <v>1936</v>
      </c>
      <c r="F40" s="3">
        <f>ERROR.TYPE(1/0)</f>
        <v>2</v>
      </c>
      <c r="G40" s="8"/>
      <c r="H40" s="8"/>
      <c r="I40" s="8"/>
      <c r="J40" s="8"/>
      <c r="K40" s="8"/>
      <c r="L40" s="8"/>
      <c r="M40" s="6" t="s">
        <v>129</v>
      </c>
      <c r="N40" s="8"/>
      <c r="O40" s="9" t="s">
        <v>541</v>
      </c>
      <c r="P40" s="8"/>
    </row>
    <row r="41" spans="1:16" ht="18" customHeight="1">
      <c r="A41" s="8" t="s">
        <v>1937</v>
      </c>
      <c r="B41" s="8" t="s">
        <v>537</v>
      </c>
      <c r="C41" s="8" t="s">
        <v>538</v>
      </c>
      <c r="D41" s="8" t="s">
        <v>539</v>
      </c>
      <c r="E41" s="2" t="s">
        <v>1938</v>
      </c>
      <c r="F41" s="3" t="e">
        <f>SUM(1,NA(),3)</f>
        <v>#N/A</v>
      </c>
      <c r="G41" s="8"/>
      <c r="H41" s="8"/>
      <c r="I41" s="8"/>
      <c r="J41" s="8"/>
      <c r="K41" s="8"/>
      <c r="L41" s="8"/>
      <c r="M41" s="6" t="s">
        <v>129</v>
      </c>
      <c r="N41" s="8"/>
      <c r="O41" s="9" t="s">
        <v>541</v>
      </c>
      <c r="P41" s="3">
        <f>IFERROR(N(F41),0)+IFERROR(N(TextDate!$F$29),0)+ROW()/100000</f>
        <v>1.00041</v>
      </c>
    </row>
    <row r="42" spans="1:16" ht="18" customHeight="1">
      <c r="A42" s="8" t="s">
        <v>1939</v>
      </c>
      <c r="B42" s="8" t="s">
        <v>537</v>
      </c>
      <c r="C42" s="8" t="s">
        <v>538</v>
      </c>
      <c r="D42" s="8" t="s">
        <v>539</v>
      </c>
      <c r="E42" s="2" t="s">
        <v>1940</v>
      </c>
      <c r="F42" s="3" t="e">
        <f>SUM(SharedData!$E$6:$E$25)+1/0</f>
        <v>#DIV/0!</v>
      </c>
      <c r="G42" s="8"/>
      <c r="H42" s="8"/>
      <c r="I42" s="8"/>
      <c r="J42" s="8"/>
      <c r="K42" s="8"/>
      <c r="L42" s="8"/>
      <c r="M42" s="6" t="s">
        <v>129</v>
      </c>
      <c r="N42" s="8"/>
      <c r="O42" s="9" t="s">
        <v>541</v>
      </c>
      <c r="P42" s="8"/>
    </row>
    <row r="43" spans="1:16" ht="18" customHeight="1">
      <c r="A43" s="8" t="s">
        <v>1941</v>
      </c>
      <c r="B43" s="8" t="s">
        <v>537</v>
      </c>
      <c r="C43" s="8" t="s">
        <v>538</v>
      </c>
      <c r="D43" s="8" t="s">
        <v>539</v>
      </c>
      <c r="E43" s="2" t="s">
        <v>1942</v>
      </c>
      <c r="F43" s="3" t="e">
        <f>IF(SharedData!$G$6,NA(),1/0)</f>
        <v>#N/A</v>
      </c>
      <c r="G43" s="8"/>
      <c r="H43" s="8"/>
      <c r="I43" s="8"/>
      <c r="J43" s="8"/>
      <c r="K43" s="8"/>
      <c r="L43" s="8"/>
      <c r="M43" s="6" t="s">
        <v>129</v>
      </c>
      <c r="N43" s="8"/>
      <c r="O43" s="9" t="s">
        <v>541</v>
      </c>
      <c r="P43" s="8"/>
    </row>
    <row r="44" spans="1:16" ht="18" customHeight="1">
      <c r="A44" s="8" t="s">
        <v>1943</v>
      </c>
      <c r="B44" s="8" t="s">
        <v>537</v>
      </c>
      <c r="C44" s="8" t="s">
        <v>538</v>
      </c>
      <c r="D44" s="8" t="s">
        <v>539</v>
      </c>
      <c r="E44" s="2" t="s">
        <v>1944</v>
      </c>
      <c r="F44" s="3" t="b">
        <f>ISERROR(1/0)</f>
        <v>1</v>
      </c>
      <c r="G44" s="8"/>
      <c r="H44" s="8"/>
      <c r="I44" s="8"/>
      <c r="J44" s="8"/>
      <c r="K44" s="8"/>
      <c r="L44" s="8"/>
      <c r="M44" s="6" t="s">
        <v>129</v>
      </c>
      <c r="N44" s="8"/>
      <c r="O44" s="9" t="s">
        <v>541</v>
      </c>
      <c r="P44" s="8"/>
    </row>
    <row r="45" spans="1:16" ht="18" customHeight="1">
      <c r="A45" s="8" t="s">
        <v>1945</v>
      </c>
      <c r="B45" s="8" t="s">
        <v>537</v>
      </c>
      <c r="C45" s="8" t="s">
        <v>538</v>
      </c>
      <c r="D45" s="8" t="s">
        <v>539</v>
      </c>
      <c r="E45" s="2" t="s">
        <v>1946</v>
      </c>
      <c r="F45" s="3" t="b">
        <f>ISERR(NA())</f>
        <v>0</v>
      </c>
      <c r="G45" s="8"/>
      <c r="H45" s="8"/>
      <c r="I45" s="8"/>
      <c r="J45" s="8"/>
      <c r="K45" s="8"/>
      <c r="L45" s="8"/>
      <c r="M45" s="6" t="s">
        <v>129</v>
      </c>
      <c r="N45" s="3" t="str">
        <f>IF(ISERROR(F45),"ERROR "&amp;IFERROR(ERROR.TYPE(F45),""),"OK")</f>
        <v>OK</v>
      </c>
      <c r="O45" s="9" t="s">
        <v>541</v>
      </c>
      <c r="P45" s="8"/>
    </row>
    <row r="46" spans="1:16" ht="18" customHeight="1">
      <c r="A46" s="8" t="s">
        <v>1947</v>
      </c>
      <c r="B46" s="8" t="s">
        <v>537</v>
      </c>
      <c r="C46" s="8" t="s">
        <v>538</v>
      </c>
      <c r="D46" s="8" t="s">
        <v>539</v>
      </c>
      <c r="E46" s="2" t="s">
        <v>1948</v>
      </c>
      <c r="F46" s="3" t="e">
        <f>_xlfn.AGGREGATE(9,6,{1,2,3,4})</f>
        <v>#VALUE!</v>
      </c>
      <c r="G46" s="8"/>
      <c r="H46" s="8"/>
      <c r="I46" s="8"/>
      <c r="J46" s="8"/>
      <c r="K46" s="8"/>
      <c r="L46" s="8"/>
      <c r="M46" s="6" t="s">
        <v>129</v>
      </c>
      <c r="N46" s="8"/>
      <c r="O46" s="9" t="s">
        <v>541</v>
      </c>
      <c r="P46" s="8"/>
    </row>
    <row r="47" spans="1:16" ht="18" customHeight="1">
      <c r="A47" s="8" t="s">
        <v>1949</v>
      </c>
      <c r="B47" s="8" t="s">
        <v>537</v>
      </c>
      <c r="C47" s="8" t="s">
        <v>538</v>
      </c>
      <c r="D47" s="8" t="s">
        <v>539</v>
      </c>
      <c r="E47" s="2" t="s">
        <v>147</v>
      </c>
      <c r="F47" s="3">
        <f>_xlfn.AGGREGATE(9,6,SharedData!$E$6:$E$25)</f>
        <v>2100</v>
      </c>
      <c r="G47" s="8"/>
      <c r="H47" s="8"/>
      <c r="I47" s="8"/>
      <c r="J47" s="8"/>
      <c r="K47" s="8"/>
      <c r="L47" s="8"/>
      <c r="M47" s="6" t="s">
        <v>129</v>
      </c>
      <c r="N47" s="8"/>
      <c r="O47" s="9" t="s">
        <v>541</v>
      </c>
      <c r="P47" s="8"/>
    </row>
    <row r="48" spans="1:16" ht="18" customHeight="1">
      <c r="A48" s="7" t="s">
        <v>1950</v>
      </c>
      <c r="B48" s="7" t="s">
        <v>537</v>
      </c>
      <c r="C48" s="7" t="s">
        <v>538</v>
      </c>
      <c r="D48" s="7" t="s">
        <v>539</v>
      </c>
      <c r="E48" s="7" t="s">
        <v>1951</v>
      </c>
      <c r="F48" s="7" t="s">
        <v>1952</v>
      </c>
      <c r="G48" s="8"/>
      <c r="H48" s="8"/>
      <c r="I48" s="8"/>
      <c r="J48" s="8"/>
      <c r="K48" s="8"/>
      <c r="L48" s="8"/>
      <c r="M48" s="7" t="s">
        <v>1953</v>
      </c>
      <c r="N48" s="8"/>
      <c r="O48" s="7" t="s">
        <v>1954</v>
      </c>
      <c r="P48" s="8"/>
    </row>
    <row r="49" spans="1:15" ht="18" customHeight="1">
      <c r="A49" s="7" t="s">
        <v>1955</v>
      </c>
      <c r="B49" s="7" t="s">
        <v>537</v>
      </c>
      <c r="C49" s="7" t="s">
        <v>538</v>
      </c>
      <c r="D49" s="7" t="s">
        <v>539</v>
      </c>
      <c r="E49" s="7" t="s">
        <v>1956</v>
      </c>
      <c r="F49" s="7" t="s">
        <v>1952</v>
      </c>
      <c r="G49" s="8"/>
      <c r="H49" s="8"/>
      <c r="I49" s="8"/>
      <c r="J49" s="8"/>
      <c r="K49" s="8"/>
      <c r="L49" s="8"/>
      <c r="M49" s="7" t="s">
        <v>1953</v>
      </c>
      <c r="N49" s="8"/>
      <c r="O49" s="7" t="s">
        <v>1957</v>
      </c>
    </row>
  </sheetData>
  <autoFilter ref="A4:P49" xr:uid="{00000000-0009-0000-0000-00000A000000}"/>
  <mergeCells count="2">
    <mergeCell ref="A1:P1"/>
    <mergeCell ref="A2:P2"/>
  </mergeCells>
  <conditionalFormatting sqref="F5:F49">
    <cfRule type="containsErrors" dxfId="1" priority="1"/>
  </conditionalFormatting>
  <pageMargins left="0.3" right="0.3" top="0.5" bottom="0.5" header="0.2" footer="0.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157"/>
  <sheetViews>
    <sheetView showGridLines="0" workbookViewId="0">
      <pane ySplit="4" topLeftCell="A5" activePane="bottomLeft" state="frozen"/>
      <selection pane="bottomLeft" activeCell="F5" sqref="F5"/>
    </sheetView>
  </sheetViews>
  <sheetFormatPr defaultRowHeight="18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.1" customHeight="1">
      <c r="A1" s="10" t="s">
        <v>1958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8"/>
      <c r="R1" s="8"/>
      <c r="S1" s="8"/>
    </row>
    <row r="2" spans="1:19" ht="24" customHeight="1">
      <c r="A2" s="12" t="s">
        <v>113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8"/>
      <c r="R2" s="9" t="s">
        <v>114</v>
      </c>
      <c r="S2" s="3">
        <f>COUNTA(A5:A1157)</f>
        <v>49</v>
      </c>
    </row>
    <row r="3" spans="1:19" ht="21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14</v>
      </c>
      <c r="S3" s="3">
        <f>COUNTA(A5:A1157)</f>
        <v>49</v>
      </c>
    </row>
    <row r="4" spans="1:19" ht="27.95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G4" s="8"/>
      <c r="H4" s="8"/>
      <c r="I4" s="8"/>
      <c r="J4" s="8"/>
      <c r="K4" s="8"/>
      <c r="L4" s="8"/>
      <c r="M4" s="1" t="s">
        <v>120</v>
      </c>
      <c r="N4" s="1" t="s">
        <v>121</v>
      </c>
      <c r="O4" s="1" t="s">
        <v>122</v>
      </c>
      <c r="P4" s="1" t="s">
        <v>123</v>
      </c>
      <c r="Q4" s="8"/>
      <c r="R4" s="9" t="s">
        <v>13</v>
      </c>
      <c r="S4" s="3">
        <f>COUNTA(A5:A1157)-COUNTIF(M5:M1157,"excluded")</f>
        <v>20</v>
      </c>
    </row>
    <row r="5" spans="1:19" ht="20.100000000000001" customHeight="1">
      <c r="A5" s="7" t="s">
        <v>1959</v>
      </c>
      <c r="B5" s="7" t="s">
        <v>1960</v>
      </c>
      <c r="C5" s="7" t="s">
        <v>1961</v>
      </c>
      <c r="D5" s="7" t="s">
        <v>1962</v>
      </c>
      <c r="E5" s="7" t="s">
        <v>1963</v>
      </c>
      <c r="F5" s="7" t="s">
        <v>1952</v>
      </c>
      <c r="G5" s="8"/>
      <c r="H5" s="8"/>
      <c r="I5" s="8"/>
      <c r="J5" s="8"/>
      <c r="K5" s="8"/>
      <c r="L5" s="8"/>
      <c r="M5" s="7" t="s">
        <v>1953</v>
      </c>
      <c r="N5" s="8"/>
      <c r="O5" s="7" t="s">
        <v>1964</v>
      </c>
      <c r="P5" s="8"/>
      <c r="Q5" s="8"/>
      <c r="R5" s="8"/>
      <c r="S5" s="8"/>
    </row>
    <row r="29" spans="1:15" ht="20.100000000000001" customHeight="1">
      <c r="A29" s="7" t="s">
        <v>1965</v>
      </c>
      <c r="B29" s="7" t="s">
        <v>1966</v>
      </c>
      <c r="C29" s="7" t="s">
        <v>1967</v>
      </c>
      <c r="D29" s="7" t="s">
        <v>1968</v>
      </c>
      <c r="E29" s="7" t="s">
        <v>1969</v>
      </c>
      <c r="F29" s="7" t="s">
        <v>1952</v>
      </c>
      <c r="G29" s="8"/>
      <c r="H29" s="8"/>
      <c r="I29" s="8"/>
      <c r="J29" s="8"/>
      <c r="K29" s="8"/>
      <c r="L29" s="8"/>
      <c r="M29" s="7" t="s">
        <v>1953</v>
      </c>
      <c r="N29" s="8"/>
      <c r="O29" s="7" t="s">
        <v>1970</v>
      </c>
    </row>
    <row r="53" spans="1:15" ht="20.100000000000001" customHeight="1">
      <c r="A53" s="7" t="s">
        <v>1971</v>
      </c>
      <c r="B53" s="7" t="s">
        <v>1972</v>
      </c>
      <c r="C53" s="7" t="s">
        <v>1973</v>
      </c>
      <c r="D53" s="7" t="s">
        <v>1974</v>
      </c>
      <c r="E53" s="7" t="s">
        <v>1975</v>
      </c>
      <c r="F53" s="7" t="s">
        <v>1952</v>
      </c>
      <c r="G53" s="8"/>
      <c r="H53" s="8"/>
      <c r="I53" s="8"/>
      <c r="J53" s="8"/>
      <c r="K53" s="8"/>
      <c r="L53" s="8"/>
      <c r="M53" s="7" t="s">
        <v>1953</v>
      </c>
      <c r="N53" s="8"/>
      <c r="O53" s="7" t="s">
        <v>1976</v>
      </c>
    </row>
    <row r="77" spans="1:15" ht="20.100000000000001" customHeight="1">
      <c r="A77" s="7" t="s">
        <v>1977</v>
      </c>
      <c r="B77" s="7" t="s">
        <v>1978</v>
      </c>
      <c r="C77" s="7" t="s">
        <v>1979</v>
      </c>
      <c r="D77" s="7" t="s">
        <v>1980</v>
      </c>
      <c r="E77" s="7" t="s">
        <v>1981</v>
      </c>
      <c r="F77" s="7" t="s">
        <v>1952</v>
      </c>
      <c r="G77" s="8"/>
      <c r="H77" s="8"/>
      <c r="I77" s="8"/>
      <c r="J77" s="8"/>
      <c r="K77" s="8"/>
      <c r="L77" s="8"/>
      <c r="M77" s="7" t="s">
        <v>1953</v>
      </c>
      <c r="N77" s="8"/>
      <c r="O77" s="7" t="s">
        <v>1982</v>
      </c>
    </row>
    <row r="101" spans="1:15" ht="20.100000000000001" customHeight="1">
      <c r="A101" s="7" t="s">
        <v>1983</v>
      </c>
      <c r="B101" s="7" t="s">
        <v>1978</v>
      </c>
      <c r="C101" s="7" t="s">
        <v>1984</v>
      </c>
      <c r="D101" s="7" t="s">
        <v>1980</v>
      </c>
      <c r="E101" s="7" t="s">
        <v>1985</v>
      </c>
      <c r="F101" s="7" t="s">
        <v>1952</v>
      </c>
      <c r="G101" s="8"/>
      <c r="H101" s="8"/>
      <c r="I101" s="8"/>
      <c r="J101" s="8"/>
      <c r="K101" s="8"/>
      <c r="L101" s="8"/>
      <c r="M101" s="7" t="s">
        <v>1953</v>
      </c>
      <c r="N101" s="8"/>
      <c r="O101" s="7" t="s">
        <v>1982</v>
      </c>
    </row>
    <row r="125" spans="1:15" ht="20.100000000000001" customHeight="1">
      <c r="A125" s="7" t="s">
        <v>1986</v>
      </c>
      <c r="B125" s="7" t="s">
        <v>1978</v>
      </c>
      <c r="C125" s="7" t="s">
        <v>1987</v>
      </c>
      <c r="D125" s="7" t="s">
        <v>1980</v>
      </c>
      <c r="E125" s="7" t="s">
        <v>1988</v>
      </c>
      <c r="F125" s="7" t="s">
        <v>1952</v>
      </c>
      <c r="G125" s="8"/>
      <c r="H125" s="8"/>
      <c r="I125" s="8"/>
      <c r="J125" s="8"/>
      <c r="K125" s="8"/>
      <c r="L125" s="8"/>
      <c r="M125" s="7" t="s">
        <v>1953</v>
      </c>
      <c r="N125" s="8"/>
      <c r="O125" s="7" t="s">
        <v>1982</v>
      </c>
    </row>
    <row r="149" spans="1:15" ht="20.100000000000001" customHeight="1">
      <c r="A149" s="7" t="s">
        <v>1989</v>
      </c>
      <c r="B149" s="7" t="s">
        <v>1978</v>
      </c>
      <c r="C149" s="7" t="s">
        <v>1990</v>
      </c>
      <c r="D149" s="7" t="s">
        <v>1980</v>
      </c>
      <c r="E149" s="7" t="s">
        <v>1991</v>
      </c>
      <c r="F149" s="7" t="s">
        <v>1952</v>
      </c>
      <c r="G149" s="8"/>
      <c r="H149" s="8"/>
      <c r="I149" s="8"/>
      <c r="J149" s="8"/>
      <c r="K149" s="8"/>
      <c r="L149" s="8"/>
      <c r="M149" s="7" t="s">
        <v>1953</v>
      </c>
      <c r="N149" s="8"/>
      <c r="O149" s="7" t="s">
        <v>1982</v>
      </c>
    </row>
    <row r="173" spans="1:15" ht="20.100000000000001" customHeight="1">
      <c r="A173" s="7" t="s">
        <v>1992</v>
      </c>
      <c r="B173" s="7" t="s">
        <v>1978</v>
      </c>
      <c r="C173" s="7" t="s">
        <v>1993</v>
      </c>
      <c r="D173" s="7" t="s">
        <v>1980</v>
      </c>
      <c r="E173" s="7" t="s">
        <v>1994</v>
      </c>
      <c r="F173" s="7" t="s">
        <v>1952</v>
      </c>
      <c r="G173" s="8"/>
      <c r="H173" s="8"/>
      <c r="I173" s="8"/>
      <c r="J173" s="8"/>
      <c r="K173" s="8"/>
      <c r="L173" s="8"/>
      <c r="M173" s="7" t="s">
        <v>1953</v>
      </c>
      <c r="N173" s="8"/>
      <c r="O173" s="7" t="s">
        <v>1982</v>
      </c>
    </row>
    <row r="197" spans="1:15" ht="20.100000000000001" customHeight="1">
      <c r="A197" s="7" t="s">
        <v>1995</v>
      </c>
      <c r="B197" s="7" t="s">
        <v>1978</v>
      </c>
      <c r="C197" s="7" t="s">
        <v>1996</v>
      </c>
      <c r="D197" s="7" t="s">
        <v>1980</v>
      </c>
      <c r="E197" s="7" t="s">
        <v>1997</v>
      </c>
      <c r="F197" s="7" t="s">
        <v>1952</v>
      </c>
      <c r="G197" s="8"/>
      <c r="H197" s="8"/>
      <c r="I197" s="8"/>
      <c r="J197" s="8"/>
      <c r="K197" s="8"/>
      <c r="L197" s="8"/>
      <c r="M197" s="7" t="s">
        <v>1953</v>
      </c>
      <c r="N197" s="8"/>
      <c r="O197" s="7" t="s">
        <v>1982</v>
      </c>
    </row>
    <row r="221" spans="1:15" ht="20.100000000000001" customHeight="1">
      <c r="A221" s="7" t="s">
        <v>1998</v>
      </c>
      <c r="B221" s="7" t="s">
        <v>1978</v>
      </c>
      <c r="C221" s="7" t="s">
        <v>1999</v>
      </c>
      <c r="D221" s="7" t="s">
        <v>1980</v>
      </c>
      <c r="E221" s="7" t="s">
        <v>2000</v>
      </c>
      <c r="F221" s="7" t="s">
        <v>1952</v>
      </c>
      <c r="G221" s="8"/>
      <c r="H221" s="8"/>
      <c r="I221" s="8"/>
      <c r="J221" s="8"/>
      <c r="K221" s="8"/>
      <c r="L221" s="8"/>
      <c r="M221" s="7" t="s">
        <v>1953</v>
      </c>
      <c r="N221" s="8"/>
      <c r="O221" s="7" t="s">
        <v>1982</v>
      </c>
    </row>
    <row r="245" spans="1:15" ht="20.100000000000001" customHeight="1">
      <c r="A245" s="7" t="s">
        <v>2001</v>
      </c>
      <c r="B245" s="7" t="s">
        <v>1972</v>
      </c>
      <c r="C245" s="7" t="s">
        <v>2002</v>
      </c>
      <c r="D245" s="7" t="s">
        <v>1974</v>
      </c>
      <c r="E245" s="7" t="s">
        <v>2003</v>
      </c>
      <c r="F245" s="7" t="s">
        <v>1952</v>
      </c>
      <c r="G245" s="8"/>
      <c r="H245" s="8"/>
      <c r="I245" s="8"/>
      <c r="J245" s="8"/>
      <c r="K245" s="8"/>
      <c r="L245" s="8"/>
      <c r="M245" s="7" t="s">
        <v>1953</v>
      </c>
      <c r="N245" s="8"/>
      <c r="O245" s="7" t="s">
        <v>2004</v>
      </c>
    </row>
    <row r="269" spans="1:15" ht="20.100000000000001" customHeight="1">
      <c r="A269" s="7" t="s">
        <v>2005</v>
      </c>
      <c r="B269" s="7" t="s">
        <v>2006</v>
      </c>
      <c r="C269" s="7" t="s">
        <v>2007</v>
      </c>
      <c r="D269" s="7" t="s">
        <v>2008</v>
      </c>
      <c r="E269" s="7" t="s">
        <v>2009</v>
      </c>
      <c r="F269" s="7" t="s">
        <v>1952</v>
      </c>
      <c r="G269" s="8"/>
      <c r="H269" s="8"/>
      <c r="I269" s="8"/>
      <c r="J269" s="8"/>
      <c r="K269" s="8"/>
      <c r="L269" s="8"/>
      <c r="M269" s="7" t="s">
        <v>1953</v>
      </c>
      <c r="N269" s="8"/>
      <c r="O269" s="7" t="s">
        <v>2010</v>
      </c>
    </row>
    <row r="293" spans="1:15" ht="20.100000000000001" customHeight="1">
      <c r="A293" s="7" t="s">
        <v>2011</v>
      </c>
      <c r="B293" s="7" t="s">
        <v>2006</v>
      </c>
      <c r="C293" s="7" t="s">
        <v>2012</v>
      </c>
      <c r="D293" s="7" t="s">
        <v>2008</v>
      </c>
      <c r="E293" s="7" t="s">
        <v>2013</v>
      </c>
      <c r="F293" s="7" t="s">
        <v>1952</v>
      </c>
      <c r="G293" s="8"/>
      <c r="H293" s="8"/>
      <c r="I293" s="8"/>
      <c r="J293" s="8"/>
      <c r="K293" s="8"/>
      <c r="L293" s="8"/>
      <c r="M293" s="7" t="s">
        <v>1953</v>
      </c>
      <c r="N293" s="8"/>
      <c r="O293" s="7" t="s">
        <v>2014</v>
      </c>
    </row>
    <row r="317" spans="1:15" ht="20.100000000000001" customHeight="1">
      <c r="A317" s="7" t="s">
        <v>2015</v>
      </c>
      <c r="B317" s="7" t="s">
        <v>2006</v>
      </c>
      <c r="C317" s="7" t="s">
        <v>2016</v>
      </c>
      <c r="D317" s="7" t="s">
        <v>2008</v>
      </c>
      <c r="E317" s="7" t="s">
        <v>2017</v>
      </c>
      <c r="F317" s="7" t="s">
        <v>1952</v>
      </c>
      <c r="G317" s="8"/>
      <c r="H317" s="8"/>
      <c r="I317" s="8"/>
      <c r="J317" s="8"/>
      <c r="K317" s="8"/>
      <c r="L317" s="8"/>
      <c r="M317" s="7" t="s">
        <v>1953</v>
      </c>
      <c r="N317" s="8"/>
      <c r="O317" s="7" t="s">
        <v>2018</v>
      </c>
    </row>
    <row r="341" spans="1:15" ht="20.100000000000001" customHeight="1">
      <c r="A341" s="7" t="s">
        <v>2019</v>
      </c>
      <c r="B341" s="7" t="s">
        <v>2020</v>
      </c>
      <c r="C341" s="7" t="s">
        <v>2021</v>
      </c>
      <c r="D341" s="7" t="s">
        <v>2022</v>
      </c>
      <c r="E341" s="7" t="s">
        <v>2023</v>
      </c>
      <c r="F341" s="7" t="s">
        <v>1952</v>
      </c>
      <c r="G341" s="8"/>
      <c r="H341" s="8"/>
      <c r="I341" s="8"/>
      <c r="J341" s="8"/>
      <c r="K341" s="8"/>
      <c r="L341" s="8"/>
      <c r="M341" s="7" t="s">
        <v>1953</v>
      </c>
      <c r="N341" s="8"/>
      <c r="O341" s="7" t="s">
        <v>2024</v>
      </c>
    </row>
    <row r="365" spans="1:15" ht="20.100000000000001" customHeight="1">
      <c r="A365" s="7" t="s">
        <v>2025</v>
      </c>
      <c r="B365" s="7" t="s">
        <v>1972</v>
      </c>
      <c r="C365" s="7" t="s">
        <v>2026</v>
      </c>
      <c r="D365" s="7" t="s">
        <v>1974</v>
      </c>
      <c r="E365" s="7" t="s">
        <v>2027</v>
      </c>
      <c r="F365" s="7" t="s">
        <v>1952</v>
      </c>
      <c r="G365" s="8"/>
      <c r="H365" s="8"/>
      <c r="I365" s="8"/>
      <c r="J365" s="8"/>
      <c r="K365" s="8"/>
      <c r="L365" s="8"/>
      <c r="M365" s="7" t="s">
        <v>1953</v>
      </c>
      <c r="N365" s="8"/>
      <c r="O365" s="7" t="s">
        <v>2028</v>
      </c>
    </row>
    <row r="389" spans="1:15" ht="20.100000000000001" customHeight="1">
      <c r="A389" s="7" t="s">
        <v>2029</v>
      </c>
      <c r="B389" s="7" t="s">
        <v>1966</v>
      </c>
      <c r="C389" s="7" t="s">
        <v>2030</v>
      </c>
      <c r="D389" s="7" t="s">
        <v>1968</v>
      </c>
      <c r="E389" s="7" t="s">
        <v>2031</v>
      </c>
      <c r="F389" s="7" t="s">
        <v>1952</v>
      </c>
      <c r="G389" s="8"/>
      <c r="H389" s="8"/>
      <c r="I389" s="8"/>
      <c r="J389" s="8"/>
      <c r="K389" s="8"/>
      <c r="L389" s="8"/>
      <c r="M389" s="7" t="s">
        <v>1953</v>
      </c>
      <c r="N389" s="8"/>
      <c r="O389" s="7" t="s">
        <v>2032</v>
      </c>
    </row>
    <row r="413" spans="1:15" ht="20.100000000000001" customHeight="1">
      <c r="A413" s="7" t="s">
        <v>2033</v>
      </c>
      <c r="B413" s="7" t="s">
        <v>2006</v>
      </c>
      <c r="C413" s="7" t="s">
        <v>2034</v>
      </c>
      <c r="D413" s="7" t="s">
        <v>2008</v>
      </c>
      <c r="E413" s="7" t="s">
        <v>2035</v>
      </c>
      <c r="F413" s="7" t="s">
        <v>1952</v>
      </c>
      <c r="G413" s="8"/>
      <c r="H413" s="8"/>
      <c r="I413" s="8"/>
      <c r="J413" s="8"/>
      <c r="K413" s="8"/>
      <c r="L413" s="8"/>
      <c r="M413" s="7" t="s">
        <v>1953</v>
      </c>
      <c r="N413" s="8"/>
      <c r="O413" s="7" t="s">
        <v>2036</v>
      </c>
    </row>
    <row r="437" spans="1:15" ht="20.100000000000001" customHeight="1">
      <c r="A437" s="7" t="s">
        <v>2037</v>
      </c>
      <c r="B437" s="7" t="s">
        <v>2038</v>
      </c>
      <c r="C437" s="7" t="s">
        <v>2039</v>
      </c>
      <c r="D437" s="7" t="s">
        <v>2040</v>
      </c>
      <c r="E437" s="7" t="s">
        <v>2041</v>
      </c>
      <c r="F437" s="7" t="s">
        <v>1952</v>
      </c>
      <c r="G437" s="8"/>
      <c r="H437" s="8"/>
      <c r="I437" s="8"/>
      <c r="J437" s="8"/>
      <c r="K437" s="8"/>
      <c r="L437" s="8"/>
      <c r="M437" s="7" t="s">
        <v>1953</v>
      </c>
      <c r="N437" s="8"/>
      <c r="O437" s="7" t="s">
        <v>2042</v>
      </c>
    </row>
    <row r="461" spans="1:15" ht="20.100000000000001" customHeight="1">
      <c r="A461" s="7" t="s">
        <v>2043</v>
      </c>
      <c r="B461" s="7" t="s">
        <v>2038</v>
      </c>
      <c r="C461" s="7" t="s">
        <v>2044</v>
      </c>
      <c r="D461" s="7" t="s">
        <v>2040</v>
      </c>
      <c r="E461" s="7" t="s">
        <v>2045</v>
      </c>
      <c r="F461" s="7" t="s">
        <v>1952</v>
      </c>
      <c r="G461" s="8"/>
      <c r="H461" s="8"/>
      <c r="I461" s="8"/>
      <c r="J461" s="8"/>
      <c r="K461" s="8"/>
      <c r="L461" s="8"/>
      <c r="M461" s="7" t="s">
        <v>1953</v>
      </c>
      <c r="N461" s="8"/>
      <c r="O461" s="7" t="s">
        <v>2046</v>
      </c>
    </row>
    <row r="485" spans="1:15" ht="20.100000000000001" customHeight="1">
      <c r="A485" s="7" t="s">
        <v>2047</v>
      </c>
      <c r="B485" s="7" t="s">
        <v>2038</v>
      </c>
      <c r="C485" s="7" t="s">
        <v>2048</v>
      </c>
      <c r="D485" s="7" t="s">
        <v>2040</v>
      </c>
      <c r="E485" s="7" t="s">
        <v>2049</v>
      </c>
      <c r="F485" s="7" t="s">
        <v>1952</v>
      </c>
      <c r="G485" s="8"/>
      <c r="H485" s="8"/>
      <c r="I485" s="8"/>
      <c r="J485" s="8"/>
      <c r="K485" s="8"/>
      <c r="L485" s="8"/>
      <c r="M485" s="7" t="s">
        <v>1953</v>
      </c>
      <c r="N485" s="8"/>
      <c r="O485" s="7" t="s">
        <v>2050</v>
      </c>
    </row>
    <row r="509" spans="1:15" ht="20.100000000000001" customHeight="1">
      <c r="A509" s="7" t="s">
        <v>2051</v>
      </c>
      <c r="B509" s="7" t="s">
        <v>2038</v>
      </c>
      <c r="C509" s="7" t="s">
        <v>2052</v>
      </c>
      <c r="D509" s="7" t="s">
        <v>2040</v>
      </c>
      <c r="E509" s="7" t="s">
        <v>2053</v>
      </c>
      <c r="F509" s="7" t="s">
        <v>1952</v>
      </c>
      <c r="G509" s="8"/>
      <c r="H509" s="8"/>
      <c r="I509" s="8"/>
      <c r="J509" s="8"/>
      <c r="K509" s="8"/>
      <c r="L509" s="8"/>
      <c r="M509" s="7" t="s">
        <v>1953</v>
      </c>
      <c r="N509" s="8"/>
      <c r="O509" s="7" t="s">
        <v>2046</v>
      </c>
    </row>
    <row r="533" spans="1:15" ht="20.100000000000001" customHeight="1">
      <c r="A533" s="7" t="s">
        <v>2054</v>
      </c>
      <c r="B533" s="7" t="s">
        <v>1960</v>
      </c>
      <c r="C533" s="7" t="s">
        <v>2055</v>
      </c>
      <c r="D533" s="7" t="s">
        <v>1962</v>
      </c>
      <c r="E533" s="7" t="s">
        <v>2056</v>
      </c>
      <c r="F533" s="7" t="s">
        <v>1952</v>
      </c>
      <c r="G533" s="8"/>
      <c r="H533" s="8"/>
      <c r="I533" s="8"/>
      <c r="J533" s="8"/>
      <c r="K533" s="8"/>
      <c r="L533" s="8"/>
      <c r="M533" s="7" t="s">
        <v>1953</v>
      </c>
      <c r="N533" s="8"/>
      <c r="O533" s="7" t="s">
        <v>2057</v>
      </c>
    </row>
    <row r="557" spans="1:15" ht="20.100000000000001" customHeight="1">
      <c r="A557" s="7" t="s">
        <v>2058</v>
      </c>
      <c r="B557" s="7" t="s">
        <v>1960</v>
      </c>
      <c r="C557" s="7" t="s">
        <v>2059</v>
      </c>
      <c r="D557" s="7" t="s">
        <v>1962</v>
      </c>
      <c r="E557" s="7" t="s">
        <v>2060</v>
      </c>
      <c r="F557" s="7" t="s">
        <v>1952</v>
      </c>
      <c r="G557" s="8"/>
      <c r="H557" s="8"/>
      <c r="I557" s="8"/>
      <c r="J557" s="8"/>
      <c r="K557" s="8"/>
      <c r="L557" s="8"/>
      <c r="M557" s="7" t="s">
        <v>1953</v>
      </c>
      <c r="N557" s="8"/>
      <c r="O557" s="7" t="s">
        <v>2061</v>
      </c>
    </row>
    <row r="581" spans="1:15" ht="20.100000000000001" customHeight="1">
      <c r="A581" s="7" t="s">
        <v>2062</v>
      </c>
      <c r="B581" s="7" t="s">
        <v>1972</v>
      </c>
      <c r="C581" s="7" t="s">
        <v>2063</v>
      </c>
      <c r="D581" s="7" t="s">
        <v>1974</v>
      </c>
      <c r="E581" s="7" t="s">
        <v>2064</v>
      </c>
      <c r="F581" s="7" t="s">
        <v>1952</v>
      </c>
      <c r="G581" s="8"/>
      <c r="H581" s="8"/>
      <c r="I581" s="8"/>
      <c r="J581" s="8"/>
      <c r="K581" s="8"/>
      <c r="L581" s="8"/>
      <c r="M581" s="7" t="s">
        <v>1953</v>
      </c>
      <c r="N581" s="8"/>
      <c r="O581" s="7" t="s">
        <v>2065</v>
      </c>
    </row>
    <row r="605" spans="1:15" ht="20.100000000000001" customHeight="1">
      <c r="A605" s="7" t="s">
        <v>2066</v>
      </c>
      <c r="B605" s="7" t="s">
        <v>2038</v>
      </c>
      <c r="C605" s="7" t="s">
        <v>2067</v>
      </c>
      <c r="D605" s="7" t="s">
        <v>2040</v>
      </c>
      <c r="E605" s="7" t="s">
        <v>2068</v>
      </c>
      <c r="F605" s="7" t="s">
        <v>1952</v>
      </c>
      <c r="G605" s="8"/>
      <c r="H605" s="8"/>
      <c r="I605" s="8"/>
      <c r="J605" s="8"/>
      <c r="K605" s="8"/>
      <c r="L605" s="8"/>
      <c r="M605" s="7" t="s">
        <v>1953</v>
      </c>
      <c r="N605" s="8"/>
      <c r="O605" s="7" t="s">
        <v>2069</v>
      </c>
    </row>
    <row r="629" spans="1:15" ht="20.100000000000001" customHeight="1">
      <c r="A629" s="7" t="s">
        <v>2070</v>
      </c>
      <c r="B629" s="7" t="s">
        <v>1972</v>
      </c>
      <c r="C629" s="7" t="s">
        <v>2071</v>
      </c>
      <c r="D629" s="7" t="s">
        <v>1974</v>
      </c>
      <c r="E629" s="7" t="s">
        <v>2072</v>
      </c>
      <c r="F629" s="7" t="s">
        <v>1952</v>
      </c>
      <c r="G629" s="8"/>
      <c r="H629" s="8"/>
      <c r="I629" s="8"/>
      <c r="J629" s="8"/>
      <c r="K629" s="8"/>
      <c r="L629" s="8"/>
      <c r="M629" s="7" t="s">
        <v>1953</v>
      </c>
      <c r="N629" s="8"/>
      <c r="O629" s="7" t="s">
        <v>2004</v>
      </c>
    </row>
    <row r="653" spans="1:15" ht="20.100000000000001" customHeight="1">
      <c r="A653" s="7" t="s">
        <v>2073</v>
      </c>
      <c r="B653" s="7" t="s">
        <v>1972</v>
      </c>
      <c r="C653" s="7" t="s">
        <v>2074</v>
      </c>
      <c r="D653" s="7" t="s">
        <v>1974</v>
      </c>
      <c r="E653" s="7" t="s">
        <v>2075</v>
      </c>
      <c r="F653" s="7" t="s">
        <v>1952</v>
      </c>
      <c r="G653" s="8"/>
      <c r="H653" s="8"/>
      <c r="I653" s="8"/>
      <c r="J653" s="8"/>
      <c r="K653" s="8"/>
      <c r="L653" s="8"/>
      <c r="M653" s="7" t="s">
        <v>1953</v>
      </c>
      <c r="N653" s="8"/>
      <c r="O653" s="7" t="s">
        <v>2076</v>
      </c>
    </row>
    <row r="677" spans="1:15" ht="20.100000000000001" customHeight="1">
      <c r="A677" s="8" t="s">
        <v>2077</v>
      </c>
      <c r="B677" s="8" t="s">
        <v>537</v>
      </c>
      <c r="C677" s="8" t="s">
        <v>538</v>
      </c>
      <c r="D677" s="8" t="s">
        <v>539</v>
      </c>
      <c r="E677" s="2" t="s">
        <v>2078</v>
      </c>
      <c r="F677" s="3">
        <f>_xlfn.LET(_xlpm.x,SharedData!$E$6:$E$25,SUM(_xlfn._xlws.FILTER(_xlpm.x,_xlpm.x&gt;100)))</f>
        <v>1550</v>
      </c>
      <c r="G677" s="8"/>
      <c r="H677" s="8"/>
      <c r="I677" s="8"/>
      <c r="J677" s="8"/>
      <c r="K677" s="8"/>
      <c r="L677" s="8"/>
      <c r="M677" s="6" t="s">
        <v>2079</v>
      </c>
      <c r="N677" s="8"/>
      <c r="O677" s="9" t="s">
        <v>541</v>
      </c>
    </row>
    <row r="701" spans="1:15" ht="20.100000000000001" customHeight="1">
      <c r="A701" s="8" t="s">
        <v>2080</v>
      </c>
      <c r="B701" s="8" t="s">
        <v>537</v>
      </c>
      <c r="C701" s="8" t="s">
        <v>538</v>
      </c>
      <c r="D701" s="8" t="s">
        <v>539</v>
      </c>
      <c r="E701" s="2" t="s">
        <v>2081</v>
      </c>
      <c r="F701" s="3">
        <f>_xlfn.LET(_xlpm.a,SharedData!$E$6,_xlpm.b,SharedData!$F$6,_xlpm.c,_xlpm.a*_xlpm.b,_xlpm.c+_xlpm.a)</f>
        <v>20</v>
      </c>
      <c r="G701" s="8"/>
      <c r="H701" s="8"/>
      <c r="I701" s="8"/>
      <c r="J701" s="8"/>
      <c r="K701" s="8"/>
      <c r="L701" s="8"/>
      <c r="M701" s="6" t="s">
        <v>2079</v>
      </c>
      <c r="N701" s="8"/>
      <c r="O701" s="9" t="s">
        <v>541</v>
      </c>
    </row>
    <row r="725" spans="1:15" ht="20.100000000000001" customHeight="1">
      <c r="A725" s="8" t="s">
        <v>2082</v>
      </c>
      <c r="B725" s="8" t="s">
        <v>537</v>
      </c>
      <c r="C725" s="8" t="s">
        <v>538</v>
      </c>
      <c r="D725" s="8" t="s">
        <v>539</v>
      </c>
      <c r="E725" s="2" t="s">
        <v>2083</v>
      </c>
      <c r="F725" s="3">
        <f>_xlfn.LAMBDA(_xlpm.x,_xlpm.x+1)(5)</f>
        <v>6</v>
      </c>
      <c r="G725" s="8"/>
      <c r="H725" s="8"/>
      <c r="I725" s="8"/>
      <c r="J725" s="8"/>
      <c r="K725" s="8"/>
      <c r="L725" s="8"/>
      <c r="M725" s="6" t="s">
        <v>2079</v>
      </c>
      <c r="N725" s="8"/>
      <c r="O725" s="9" t="s">
        <v>541</v>
      </c>
    </row>
    <row r="749" spans="1:15" ht="20.100000000000001" customHeight="1">
      <c r="A749" s="8" t="s">
        <v>2084</v>
      </c>
      <c r="B749" s="8" t="s">
        <v>537</v>
      </c>
      <c r="C749" s="8" t="s">
        <v>538</v>
      </c>
      <c r="D749" s="8" t="s">
        <v>539</v>
      </c>
      <c r="E749" s="2" t="s">
        <v>2085</v>
      </c>
      <c r="F749" s="3">
        <f>_xlfn.LAMBDA(_xlpm.x,_xlpm.y,_xlpm.x*_xlpm.y)(6,7)</f>
        <v>42</v>
      </c>
      <c r="G749" s="8"/>
      <c r="H749" s="8"/>
      <c r="I749" s="8"/>
      <c r="J749" s="8"/>
      <c r="K749" s="8"/>
      <c r="L749" s="8"/>
      <c r="M749" s="6" t="s">
        <v>2079</v>
      </c>
      <c r="N749" s="8"/>
      <c r="O749" s="9" t="s">
        <v>541</v>
      </c>
    </row>
    <row r="773" spans="1:15" ht="20.100000000000001" customHeight="1">
      <c r="A773" s="8" t="s">
        <v>2086</v>
      </c>
      <c r="B773" s="8" t="s">
        <v>537</v>
      </c>
      <c r="C773" s="8" t="s">
        <v>538</v>
      </c>
      <c r="D773" s="8" t="s">
        <v>539</v>
      </c>
      <c r="E773" s="2" t="s">
        <v>2087</v>
      </c>
      <c r="F773" s="3" t="e">
        <f>SUM(Arithmetic:TextDate!F5)</f>
        <v>#VALUE!</v>
      </c>
      <c r="G773" s="8"/>
      <c r="H773" s="8"/>
      <c r="I773" s="8"/>
      <c r="J773" s="8"/>
      <c r="K773" s="8"/>
      <c r="L773" s="8"/>
      <c r="M773" s="6" t="s">
        <v>2079</v>
      </c>
      <c r="N773" s="3" t="str">
        <f>IF(ISERROR(F773),"ERROR "&amp;IFERROR(ERROR.TYPE(F773),""),"OK")</f>
        <v>ERROR 3</v>
      </c>
      <c r="O773" s="9" t="s">
        <v>541</v>
      </c>
    </row>
    <row r="797" spans="1:15" ht="20.100000000000001" customHeight="1">
      <c r="A797" s="8" t="s">
        <v>2088</v>
      </c>
      <c r="B797" s="8" t="s">
        <v>537</v>
      </c>
      <c r="C797" s="8" t="s">
        <v>538</v>
      </c>
      <c r="D797" s="8" t="s">
        <v>539</v>
      </c>
      <c r="E797" s="2" t="s">
        <v>2089</v>
      </c>
      <c r="F797" s="3">
        <f>COUNT(Arithmetic:TextDate!F5)</f>
        <v>5</v>
      </c>
      <c r="G797" s="8"/>
      <c r="H797" s="8"/>
      <c r="I797" s="8"/>
      <c r="J797" s="8"/>
      <c r="K797" s="8"/>
      <c r="L797" s="8"/>
      <c r="M797" s="6" t="s">
        <v>2079</v>
      </c>
      <c r="N797" s="8"/>
      <c r="O797" s="9" t="s">
        <v>541</v>
      </c>
    </row>
    <row r="821" spans="1:15" ht="20.100000000000001" customHeight="1">
      <c r="A821" s="8" t="s">
        <v>2090</v>
      </c>
      <c r="B821" s="8" t="s">
        <v>537</v>
      </c>
      <c r="C821" s="8" t="s">
        <v>538</v>
      </c>
      <c r="D821" s="8" t="s">
        <v>539</v>
      </c>
      <c r="E821" s="2" t="s">
        <v>1588</v>
      </c>
      <c r="F821" s="3">
        <f>SUM(DataTable[Amount])</f>
        <v>2100</v>
      </c>
      <c r="G821" s="8"/>
      <c r="H821" s="8"/>
      <c r="I821" s="8"/>
      <c r="J821" s="8"/>
      <c r="K821" s="8"/>
      <c r="L821" s="8"/>
      <c r="M821" s="6" t="s">
        <v>2079</v>
      </c>
      <c r="N821" s="8"/>
      <c r="O821" s="9" t="s">
        <v>541</v>
      </c>
    </row>
    <row r="845" spans="1:15" ht="20.100000000000001" customHeight="1">
      <c r="A845" s="8" t="s">
        <v>2091</v>
      </c>
      <c r="B845" s="8" t="s">
        <v>537</v>
      </c>
      <c r="C845" s="8" t="s">
        <v>538</v>
      </c>
      <c r="D845" s="8" t="s">
        <v>539</v>
      </c>
      <c r="E845" s="2" t="s">
        <v>2092</v>
      </c>
      <c r="F845" s="3">
        <f>AVERAGEIFS(DataTable[Amount],DataTable[Category],"A")</f>
        <v>100</v>
      </c>
      <c r="G845" s="8"/>
      <c r="H845" s="8"/>
      <c r="I845" s="8"/>
      <c r="J845" s="8"/>
      <c r="K845" s="8"/>
      <c r="L845" s="8"/>
      <c r="M845" s="6" t="s">
        <v>2079</v>
      </c>
      <c r="N845" s="8"/>
      <c r="O845" s="9" t="s">
        <v>541</v>
      </c>
    </row>
    <row r="869" spans="1:16" ht="20.100000000000001" customHeight="1">
      <c r="A869" s="8" t="s">
        <v>2093</v>
      </c>
      <c r="B869" s="8" t="s">
        <v>537</v>
      </c>
      <c r="C869" s="8" t="s">
        <v>538</v>
      </c>
      <c r="D869" s="8" t="s">
        <v>539</v>
      </c>
      <c r="E869" s="2" t="s">
        <v>2094</v>
      </c>
      <c r="F869" s="3">
        <f>_xlfn.XLOOKUP("K010",DataTable[Key],DataTable[Amount])</f>
        <v>100</v>
      </c>
      <c r="G869" s="8"/>
      <c r="H869" s="8"/>
      <c r="I869" s="8"/>
      <c r="J869" s="8"/>
      <c r="K869" s="8"/>
      <c r="L869" s="8"/>
      <c r="M869" s="6" t="s">
        <v>2079</v>
      </c>
      <c r="N869" s="8"/>
      <c r="O869" s="9" t="s">
        <v>541</v>
      </c>
      <c r="P869" s="3">
        <f>IFERROR(N(F869),0)+IFERROR(N(Errors!$F$5),0)+ROW()/100000</f>
        <v>100.00869</v>
      </c>
    </row>
    <row r="893" spans="1:15" ht="20.100000000000001" customHeight="1">
      <c r="A893" s="8" t="s">
        <v>2095</v>
      </c>
      <c r="B893" s="8" t="s">
        <v>537</v>
      </c>
      <c r="C893" s="8" t="s">
        <v>538</v>
      </c>
      <c r="D893" s="8" t="s">
        <v>539</v>
      </c>
      <c r="E893" s="2" t="s">
        <v>2096</v>
      </c>
      <c r="F893" s="3">
        <f>SUMPRODUCT(DataTable[Amount],DataTable[Quantity])</f>
        <v>8610</v>
      </c>
      <c r="G893" s="8"/>
      <c r="H893" s="8"/>
      <c r="I893" s="8"/>
      <c r="J893" s="8"/>
      <c r="K893" s="8"/>
      <c r="L893" s="8"/>
      <c r="M893" s="6" t="s">
        <v>2079</v>
      </c>
      <c r="N893" s="8"/>
      <c r="O893" s="9" t="s">
        <v>541</v>
      </c>
    </row>
    <row r="917" spans="1:15" ht="20.100000000000001" customHeight="1">
      <c r="A917" s="8" t="s">
        <v>2097</v>
      </c>
      <c r="B917" s="8" t="s">
        <v>537</v>
      </c>
      <c r="C917" s="8" t="s">
        <v>538</v>
      </c>
      <c r="D917" s="8" t="s">
        <v>539</v>
      </c>
      <c r="E917" s="2" t="s">
        <v>2098</v>
      </c>
      <c r="F917" s="3">
        <f>SUM(DataTable[[Amount]:[Quantity]])</f>
        <v>2177</v>
      </c>
      <c r="G917" s="8"/>
      <c r="H917" s="8"/>
      <c r="I917" s="8"/>
      <c r="J917" s="8"/>
      <c r="K917" s="8"/>
      <c r="L917" s="8"/>
      <c r="M917" s="6" t="s">
        <v>2079</v>
      </c>
      <c r="N917" s="8"/>
      <c r="O917" s="9" t="s">
        <v>541</v>
      </c>
    </row>
    <row r="941" spans="1:15" ht="20.100000000000001" customHeight="1">
      <c r="A941" s="8" t="s">
        <v>2099</v>
      </c>
      <c r="B941" s="8" t="s">
        <v>537</v>
      </c>
      <c r="C941" s="8" t="s">
        <v>538</v>
      </c>
      <c r="D941" s="8" t="s">
        <v>539</v>
      </c>
      <c r="E941" s="2" t="s">
        <v>2100</v>
      </c>
      <c r="F941" s="3" t="str" cm="1">
        <f t="array" ref="F941:G944">_xlfn.GROUPBY(DataTable[Category],DataTable[Amount],_xleta.SUM)</f>
        <v>A</v>
      </c>
      <c r="G941" s="8">
        <v>700</v>
      </c>
      <c r="H941" s="8"/>
      <c r="I941" s="8"/>
      <c r="J941" s="8"/>
      <c r="K941" s="8"/>
      <c r="L941" s="8"/>
      <c r="M941" s="6" t="s">
        <v>2079</v>
      </c>
      <c r="N941" s="8"/>
      <c r="O941" s="9" t="s">
        <v>541</v>
      </c>
    </row>
    <row r="942" spans="1:15">
      <c r="A942" s="8"/>
      <c r="B942" s="8"/>
      <c r="C942" s="8"/>
      <c r="D942" s="8"/>
      <c r="E942" s="8"/>
      <c r="F942" s="8" t="str">
        <v>B</v>
      </c>
      <c r="G942" s="8">
        <v>770</v>
      </c>
      <c r="H942" s="8"/>
      <c r="I942" s="8"/>
      <c r="J942" s="8"/>
      <c r="K942" s="8"/>
      <c r="L942" s="8"/>
      <c r="M942" s="8"/>
      <c r="N942" s="8"/>
      <c r="O942" s="8"/>
    </row>
    <row r="943" spans="1:15">
      <c r="A943" s="8"/>
      <c r="B943" s="8"/>
      <c r="C943" s="8"/>
      <c r="D943" s="8"/>
      <c r="E943" s="8"/>
      <c r="F943" s="8" t="str">
        <v>C</v>
      </c>
      <c r="G943" s="8">
        <v>630</v>
      </c>
      <c r="H943" s="8"/>
      <c r="I943" s="8"/>
      <c r="J943" s="8"/>
      <c r="K943" s="8"/>
      <c r="L943" s="8"/>
      <c r="M943" s="8"/>
      <c r="N943" s="8"/>
      <c r="O943" s="8"/>
    </row>
    <row r="944" spans="1:15">
      <c r="A944" s="8"/>
      <c r="B944" s="8"/>
      <c r="C944" s="8"/>
      <c r="D944" s="8"/>
      <c r="E944" s="8"/>
      <c r="F944" s="8" t="str">
        <v>합계</v>
      </c>
      <c r="G944" s="8">
        <v>2100</v>
      </c>
      <c r="H944" s="8"/>
      <c r="I944" s="8"/>
      <c r="J944" s="8"/>
      <c r="K944" s="8"/>
      <c r="L944" s="8"/>
      <c r="M944" s="8"/>
      <c r="N944" s="8"/>
      <c r="O944" s="8"/>
    </row>
    <row r="965" spans="1:15" ht="20.100000000000001" customHeight="1">
      <c r="A965" s="8" t="s">
        <v>2101</v>
      </c>
      <c r="B965" s="8" t="s">
        <v>537</v>
      </c>
      <c r="C965" s="8" t="s">
        <v>538</v>
      </c>
      <c r="D965" s="8" t="s">
        <v>539</v>
      </c>
      <c r="E965" s="2" t="s">
        <v>2102</v>
      </c>
      <c r="F965" s="3" t="str" cm="1">
        <f t="array" ref="F965:I969">_xlfn.PIVOTBY(DataTable[Category],DataTable[Flag],DataTable[Amount],_xleta.SUM)</f>
        <v/>
      </c>
      <c r="G965" s="8" t="b">
        <v>0</v>
      </c>
      <c r="H965" s="8" t="b">
        <v>1</v>
      </c>
      <c r="I965" s="8" t="str">
        <v>합계</v>
      </c>
      <c r="J965" s="8"/>
      <c r="K965" s="8"/>
      <c r="L965" s="8"/>
      <c r="M965" s="6" t="s">
        <v>2079</v>
      </c>
      <c r="N965" s="3" t="str">
        <f>IF(ISERROR(F965),"ERROR "&amp;IFERROR(ERROR.TYPE(F965),""),"OK")</f>
        <v>OK</v>
      </c>
      <c r="O965" s="9" t="s">
        <v>541</v>
      </c>
    </row>
    <row r="966" spans="1:15">
      <c r="A966" s="8"/>
      <c r="B966" s="8"/>
      <c r="C966" s="8"/>
      <c r="D966" s="8"/>
      <c r="E966" s="8"/>
      <c r="F966" s="8" t="str">
        <v>A</v>
      </c>
      <c r="G966" s="8">
        <v>300</v>
      </c>
      <c r="H966" s="8">
        <v>400</v>
      </c>
      <c r="I966" s="8">
        <v>700</v>
      </c>
      <c r="J966" s="8"/>
      <c r="K966" s="8"/>
      <c r="L966" s="8"/>
      <c r="M966" s="8"/>
      <c r="N966" s="8"/>
      <c r="O966" s="8"/>
    </row>
    <row r="967" spans="1:15">
      <c r="A967" s="8"/>
      <c r="B967" s="8"/>
      <c r="C967" s="8"/>
      <c r="D967" s="8"/>
      <c r="E967" s="8"/>
      <c r="F967" s="8" t="str">
        <v>B</v>
      </c>
      <c r="G967" s="8">
        <v>440</v>
      </c>
      <c r="H967" s="8">
        <v>330</v>
      </c>
      <c r="I967" s="8">
        <v>770</v>
      </c>
      <c r="J967" s="8"/>
      <c r="K967" s="8"/>
      <c r="L967" s="8"/>
      <c r="M967" s="8"/>
      <c r="N967" s="8"/>
      <c r="O967" s="8"/>
    </row>
    <row r="968" spans="1:15">
      <c r="A968" s="8"/>
      <c r="B968" s="8"/>
      <c r="C968" s="8"/>
      <c r="D968" s="8"/>
      <c r="E968" s="8"/>
      <c r="F968" s="8" t="str">
        <v>C</v>
      </c>
      <c r="G968" s="8">
        <v>360</v>
      </c>
      <c r="H968" s="8">
        <v>270</v>
      </c>
      <c r="I968" s="8">
        <v>630</v>
      </c>
      <c r="J968" s="8"/>
      <c r="K968" s="8"/>
      <c r="L968" s="8"/>
      <c r="M968" s="8"/>
      <c r="N968" s="8"/>
      <c r="O968" s="8"/>
    </row>
    <row r="969" spans="1:15">
      <c r="A969" s="8"/>
      <c r="B969" s="8"/>
      <c r="C969" s="8"/>
      <c r="D969" s="8"/>
      <c r="E969" s="8"/>
      <c r="F969" s="8" t="str">
        <v>합계</v>
      </c>
      <c r="G969" s="8">
        <v>1100</v>
      </c>
      <c r="H969" s="8">
        <v>1000</v>
      </c>
      <c r="I969" s="8">
        <v>2100</v>
      </c>
      <c r="J969" s="8"/>
      <c r="K969" s="8"/>
      <c r="L969" s="8"/>
      <c r="M969" s="8"/>
      <c r="N969" s="8"/>
      <c r="O969" s="8"/>
    </row>
    <row r="989" spans="1:15" ht="20.100000000000001" customHeight="1">
      <c r="A989" s="8" t="s">
        <v>2103</v>
      </c>
      <c r="B989" s="8" t="s">
        <v>537</v>
      </c>
      <c r="C989" s="8" t="s">
        <v>538</v>
      </c>
      <c r="D989" s="8" t="s">
        <v>539</v>
      </c>
      <c r="E989" s="2" t="s">
        <v>1224</v>
      </c>
      <c r="F989" s="3" t="str" cm="1">
        <f t="array" ref="F989:H1009">_xlfn.TRIMRANGE(SharedData!$H$5:$J$27)</f>
        <v>Mixed</v>
      </c>
      <c r="G989" s="8" t="str">
        <v>X</v>
      </c>
      <c r="H989" s="8" t="str">
        <v>Y = 2X+3</v>
      </c>
      <c r="I989" s="8"/>
      <c r="J989" s="8"/>
      <c r="K989" s="8"/>
      <c r="L989" s="8"/>
      <c r="M989" s="6" t="s">
        <v>2079</v>
      </c>
      <c r="N989" s="8"/>
      <c r="O989" s="9" t="s">
        <v>541</v>
      </c>
    </row>
    <row r="990" spans="1:15">
      <c r="A990" s="8"/>
      <c r="B990" s="8"/>
      <c r="C990" s="8"/>
      <c r="D990" s="8"/>
      <c r="E990" s="8"/>
      <c r="F990" s="8">
        <v>0</v>
      </c>
      <c r="G990" s="8">
        <v>1</v>
      </c>
      <c r="H990" s="8">
        <v>5</v>
      </c>
      <c r="I990" s="8"/>
      <c r="J990" s="8"/>
      <c r="K990" s="8"/>
      <c r="L990" s="8"/>
      <c r="M990" s="8"/>
      <c r="N990" s="8"/>
      <c r="O990" s="8"/>
    </row>
    <row r="991" spans="1:15">
      <c r="A991" s="8"/>
      <c r="B991" s="8"/>
      <c r="C991" s="8"/>
      <c r="D991" s="8"/>
      <c r="E991" s="8"/>
      <c r="F991" s="8" t="str">
        <v>text</v>
      </c>
      <c r="G991" s="8">
        <v>2</v>
      </c>
      <c r="H991" s="8">
        <v>7</v>
      </c>
      <c r="I991" s="8"/>
      <c r="J991" s="8"/>
      <c r="K991" s="8"/>
      <c r="L991" s="8"/>
      <c r="M991" s="8"/>
      <c r="N991" s="8"/>
      <c r="O991" s="8"/>
    </row>
    <row r="992" spans="1:15">
      <c r="A992" s="8"/>
      <c r="B992" s="8"/>
      <c r="C992" s="8"/>
      <c r="D992" s="8"/>
      <c r="E992" s="8"/>
      <c r="F992" s="8" t="b">
        <v>1</v>
      </c>
      <c r="G992" s="8">
        <v>3</v>
      </c>
      <c r="H992" s="8">
        <v>9</v>
      </c>
      <c r="I992" s="8"/>
      <c r="J992" s="8"/>
      <c r="K992" s="8"/>
      <c r="L992" s="8"/>
      <c r="M992" s="8"/>
      <c r="N992" s="8"/>
      <c r="O992" s="8"/>
    </row>
    <row r="993" spans="6:8">
      <c r="F993" s="8" t="b">
        <v>0</v>
      </c>
      <c r="G993" s="8">
        <v>4</v>
      </c>
      <c r="H993" s="8">
        <v>11</v>
      </c>
    </row>
    <row r="994" spans="6:8">
      <c r="F994" s="8">
        <v>0</v>
      </c>
      <c r="G994" s="8">
        <v>5</v>
      </c>
      <c r="H994" s="8">
        <v>13</v>
      </c>
    </row>
    <row r="995" spans="6:8">
      <c r="F995" s="8" t="str">
        <v>0</v>
      </c>
      <c r="G995" s="8">
        <v>6</v>
      </c>
      <c r="H995" s="8">
        <v>15</v>
      </c>
    </row>
    <row r="996" spans="6:8">
      <c r="F996" s="8">
        <v>0</v>
      </c>
      <c r="G996" s="8">
        <v>7</v>
      </c>
      <c r="H996" s="8">
        <v>17</v>
      </c>
    </row>
    <row r="997" spans="6:8">
      <c r="F997" s="8" t="str">
        <v>CellRune</v>
      </c>
      <c r="G997" s="8">
        <v>8</v>
      </c>
      <c r="H997" s="8">
        <v>19</v>
      </c>
    </row>
    <row r="998" spans="6:8">
      <c r="F998" s="8" t="b">
        <v>1</v>
      </c>
      <c r="G998" s="8">
        <v>9</v>
      </c>
      <c r="H998" s="8">
        <v>21</v>
      </c>
    </row>
    <row r="999" spans="6:8">
      <c r="F999" s="8">
        <v>-1</v>
      </c>
      <c r="G999" s="8">
        <v>10</v>
      </c>
      <c r="H999" s="8">
        <v>23</v>
      </c>
    </row>
    <row r="1000" spans="6:8">
      <c r="F1000" s="8">
        <v>0</v>
      </c>
      <c r="G1000" s="8">
        <v>11</v>
      </c>
      <c r="H1000" s="8">
        <v>25</v>
      </c>
    </row>
    <row r="1001" spans="6:8">
      <c r="F1001" s="8" t="str">
        <v>text</v>
      </c>
      <c r="G1001" s="8">
        <v>12</v>
      </c>
      <c r="H1001" s="8">
        <v>27</v>
      </c>
    </row>
    <row r="1002" spans="6:8">
      <c r="F1002" s="8" t="b">
        <v>1</v>
      </c>
      <c r="G1002" s="8">
        <v>13</v>
      </c>
      <c r="H1002" s="8">
        <v>29</v>
      </c>
    </row>
    <row r="1003" spans="6:8">
      <c r="F1003" s="8" t="b">
        <v>0</v>
      </c>
      <c r="G1003" s="8">
        <v>14</v>
      </c>
      <c r="H1003" s="8">
        <v>31</v>
      </c>
    </row>
    <row r="1004" spans="6:8">
      <c r="F1004" s="8">
        <v>0</v>
      </c>
      <c r="G1004" s="8">
        <v>15</v>
      </c>
      <c r="H1004" s="8">
        <v>33</v>
      </c>
    </row>
    <row r="1005" spans="6:8">
      <c r="F1005" s="8" t="str">
        <v>0</v>
      </c>
      <c r="G1005" s="8">
        <v>16</v>
      </c>
      <c r="H1005" s="8">
        <v>35</v>
      </c>
    </row>
    <row r="1006" spans="6:8">
      <c r="F1006" s="8">
        <v>0</v>
      </c>
      <c r="G1006" s="8">
        <v>17</v>
      </c>
      <c r="H1006" s="8">
        <v>37</v>
      </c>
    </row>
    <row r="1007" spans="6:8">
      <c r="F1007" s="8" t="str">
        <v>CellRune</v>
      </c>
      <c r="G1007" s="8">
        <v>18</v>
      </c>
      <c r="H1007" s="8">
        <v>39</v>
      </c>
    </row>
    <row r="1008" spans="6:8">
      <c r="F1008" s="8" t="b">
        <v>1</v>
      </c>
      <c r="G1008" s="8">
        <v>19</v>
      </c>
      <c r="H1008" s="8">
        <v>41</v>
      </c>
    </row>
    <row r="1009" spans="1:15">
      <c r="A1009" s="8"/>
      <c r="B1009" s="8"/>
      <c r="C1009" s="8"/>
      <c r="D1009" s="8"/>
      <c r="E1009" s="8"/>
      <c r="F1009" s="8">
        <v>-1</v>
      </c>
      <c r="G1009" s="8">
        <v>20</v>
      </c>
      <c r="H1009" s="8">
        <v>43</v>
      </c>
      <c r="I1009" s="8"/>
      <c r="J1009" s="8"/>
      <c r="K1009" s="8"/>
      <c r="L1009" s="8"/>
      <c r="M1009" s="8"/>
      <c r="N1009" s="8"/>
      <c r="O1009" s="8"/>
    </row>
    <row r="1013" spans="1:15" ht="20.100000000000001" customHeight="1">
      <c r="A1013" s="8" t="s">
        <v>2104</v>
      </c>
      <c r="B1013" s="8" t="s">
        <v>537</v>
      </c>
      <c r="C1013" s="8" t="s">
        <v>538</v>
      </c>
      <c r="D1013" s="8" t="s">
        <v>539</v>
      </c>
      <c r="E1013" s="2" t="s">
        <v>2105</v>
      </c>
      <c r="F1013" s="3">
        <f t="array" ref="F1013">SUM(SharedData!T:T*SharedData!U:U)</f>
        <v>5740</v>
      </c>
      <c r="G1013" s="8"/>
      <c r="H1013" s="8"/>
      <c r="I1013" s="8"/>
      <c r="J1013" s="8"/>
      <c r="K1013" s="8"/>
      <c r="L1013" s="8"/>
      <c r="M1013" s="6" t="s">
        <v>2079</v>
      </c>
      <c r="N1013" s="8"/>
      <c r="O1013" s="9" t="s">
        <v>541</v>
      </c>
    </row>
    <row r="1037" spans="1:15" ht="20.100000000000001" customHeight="1">
      <c r="A1037" s="8" t="s">
        <v>2106</v>
      </c>
      <c r="B1037" s="8" t="s">
        <v>537</v>
      </c>
      <c r="C1037" s="8" t="s">
        <v>538</v>
      </c>
      <c r="D1037" s="8" t="s">
        <v>539</v>
      </c>
      <c r="E1037" s="2" t="s">
        <v>2107</v>
      </c>
      <c r="F1037" s="3">
        <f t="array" ref="F1037">SUM(SharedData!T:T*SharedData!V:V)</f>
        <v>650</v>
      </c>
      <c r="G1037" s="8"/>
      <c r="H1037" s="8"/>
      <c r="I1037" s="8"/>
      <c r="J1037" s="8"/>
      <c r="K1037" s="8"/>
      <c r="L1037" s="8"/>
      <c r="M1037" s="6" t="s">
        <v>2079</v>
      </c>
      <c r="N1037" s="8"/>
      <c r="O1037" s="9" t="s">
        <v>541</v>
      </c>
    </row>
    <row r="1061" spans="1:15" ht="20.100000000000001" customHeight="1">
      <c r="A1061" s="8" t="s">
        <v>2108</v>
      </c>
      <c r="B1061" s="8" t="s">
        <v>537</v>
      </c>
      <c r="C1061" s="8" t="s">
        <v>538</v>
      </c>
      <c r="D1061" s="8" t="s">
        <v>539</v>
      </c>
      <c r="E1061" s="2" t="s">
        <v>2109</v>
      </c>
      <c r="F1061" s="3">
        <f>SUM(SpanStart:SpanEnd!A1)</f>
        <v>111</v>
      </c>
      <c r="G1061" s="8"/>
      <c r="H1061" s="8"/>
      <c r="I1061" s="8"/>
      <c r="J1061" s="8"/>
      <c r="K1061" s="8"/>
      <c r="L1061" s="8"/>
      <c r="M1061" s="6" t="s">
        <v>2079</v>
      </c>
      <c r="N1061" s="8"/>
      <c r="O1061" s="9" t="s">
        <v>541</v>
      </c>
    </row>
    <row r="1085" spans="1:15" ht="20.100000000000001" customHeight="1">
      <c r="A1085" s="8" t="s">
        <v>2110</v>
      </c>
      <c r="B1085" s="8" t="s">
        <v>537</v>
      </c>
      <c r="C1085" s="8" t="s">
        <v>538</v>
      </c>
      <c r="D1085" s="8" t="s">
        <v>539</v>
      </c>
      <c r="E1085" s="2" t="s">
        <v>2111</v>
      </c>
      <c r="F1085" s="3">
        <f>SUM(SpanStart:SpanEnd!A:A)</f>
        <v>1665</v>
      </c>
      <c r="G1085" s="8"/>
      <c r="H1085" s="8"/>
      <c r="I1085" s="8"/>
      <c r="J1085" s="8"/>
      <c r="K1085" s="8"/>
      <c r="L1085" s="8"/>
      <c r="M1085" s="6" t="s">
        <v>2079</v>
      </c>
      <c r="N1085" s="8"/>
      <c r="O1085" s="9" t="s">
        <v>541</v>
      </c>
    </row>
    <row r="1109" spans="1:15" ht="20.100000000000001" customHeight="1">
      <c r="A1109" s="8" t="s">
        <v>2112</v>
      </c>
      <c r="B1109" s="8" t="s">
        <v>537</v>
      </c>
      <c r="C1109" s="8" t="s">
        <v>538</v>
      </c>
      <c r="D1109" s="8" t="s">
        <v>539</v>
      </c>
      <c r="E1109" s="2" t="s">
        <v>2113</v>
      </c>
      <c r="F1109" s="3" t="e">
        <f>INDEX(SpanStart:SpanEnd!A1:A5,1)</f>
        <v>#VALUE!</v>
      </c>
      <c r="G1109" s="8"/>
      <c r="H1109" s="8"/>
      <c r="I1109" s="8"/>
      <c r="J1109" s="8"/>
      <c r="K1109" s="8"/>
      <c r="L1109" s="8"/>
      <c r="M1109" s="6" t="s">
        <v>2079</v>
      </c>
      <c r="N1109" s="8"/>
      <c r="O1109" s="9" t="s">
        <v>541</v>
      </c>
    </row>
    <row r="1133" spans="1:15" ht="20.100000000000001" customHeight="1">
      <c r="A1133" s="8" t="s">
        <v>2114</v>
      </c>
      <c r="B1133" s="8" t="s">
        <v>537</v>
      </c>
      <c r="C1133" s="8" t="s">
        <v>538</v>
      </c>
      <c r="D1133" s="8" t="s">
        <v>539</v>
      </c>
      <c r="E1133" s="2" t="s">
        <v>2115</v>
      </c>
      <c r="F1133" s="3" t="e">
        <f>VLOOKUP(1,SpanStart:SpanEnd!A1:B5,2,FALSE)</f>
        <v>#VALUE!</v>
      </c>
      <c r="G1133" s="8"/>
      <c r="H1133" s="8"/>
      <c r="I1133" s="8"/>
      <c r="J1133" s="8"/>
      <c r="K1133" s="8"/>
      <c r="L1133" s="8"/>
      <c r="M1133" s="6" t="s">
        <v>2079</v>
      </c>
      <c r="N1133" s="8"/>
      <c r="O1133" s="9" t="s">
        <v>541</v>
      </c>
    </row>
    <row r="1157" spans="1:15" ht="20.100000000000001" customHeight="1">
      <c r="A1157" s="7" t="s">
        <v>2116</v>
      </c>
      <c r="B1157" s="7" t="s">
        <v>537</v>
      </c>
      <c r="C1157" s="7" t="s">
        <v>538</v>
      </c>
      <c r="D1157" s="7" t="s">
        <v>539</v>
      </c>
      <c r="E1157" s="7" t="s">
        <v>2117</v>
      </c>
      <c r="F1157" s="7" t="s">
        <v>1952</v>
      </c>
      <c r="G1157" s="8"/>
      <c r="H1157" s="8"/>
      <c r="I1157" s="8"/>
      <c r="J1157" s="8"/>
      <c r="K1157" s="8"/>
      <c r="L1157" s="8"/>
      <c r="M1157" s="7" t="s">
        <v>1953</v>
      </c>
      <c r="N1157" s="8"/>
      <c r="O1157" s="7" t="s">
        <v>2118</v>
      </c>
    </row>
  </sheetData>
  <autoFilter ref="A4:P1157" xr:uid="{00000000-0009-0000-0000-00000B000000}"/>
  <mergeCells count="2">
    <mergeCell ref="A1:P1"/>
    <mergeCell ref="A2:P2"/>
  </mergeCells>
  <conditionalFormatting sqref="F5:F1157">
    <cfRule type="containsErrors" dxfId="0" priority="1"/>
  </conditionalFormatting>
  <pageMargins left="0.3" right="0.3" top="0.5" bottom="0.5" header="0.2" footer="0.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showGridLines="0" workbookViewId="0"/>
  </sheetViews>
  <sheetFormatPr defaultRowHeight="18"/>
  <sheetData>
    <row r="1" spans="1:2" ht="18" customHeight="1">
      <c r="A1" s="8">
        <v>1</v>
      </c>
      <c r="B1" s="8">
        <v>11</v>
      </c>
    </row>
    <row r="2" spans="1:2" ht="18" customHeight="1">
      <c r="A2" s="8">
        <v>2</v>
      </c>
      <c r="B2" s="8">
        <v>12</v>
      </c>
    </row>
    <row r="3" spans="1:2" ht="18" customHeight="1">
      <c r="A3" s="8">
        <v>3</v>
      </c>
      <c r="B3" s="8">
        <v>13</v>
      </c>
    </row>
    <row r="4" spans="1:2" ht="18" customHeight="1">
      <c r="A4" s="8">
        <v>4</v>
      </c>
      <c r="B4" s="8">
        <v>14</v>
      </c>
    </row>
    <row r="5" spans="1:2" ht="18" customHeight="1">
      <c r="A5" s="8">
        <v>5</v>
      </c>
      <c r="B5" s="8">
        <v>15</v>
      </c>
    </row>
  </sheetData>
  <pageMargins left="0.3" right="0.3" top="0.5" bottom="0.5" header="0.2" footer="0.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"/>
  <sheetViews>
    <sheetView showGridLines="0" workbookViewId="0"/>
  </sheetViews>
  <sheetFormatPr defaultRowHeight="18"/>
  <sheetData>
    <row r="1" spans="1:2" ht="18" customHeight="1">
      <c r="A1" s="8">
        <v>10</v>
      </c>
      <c r="B1" s="8">
        <v>101</v>
      </c>
    </row>
    <row r="2" spans="1:2" ht="18" customHeight="1">
      <c r="A2" s="8">
        <v>20</v>
      </c>
      <c r="B2" s="8">
        <v>102</v>
      </c>
    </row>
    <row r="3" spans="1:2" ht="18" customHeight="1">
      <c r="A3" s="8">
        <v>30</v>
      </c>
      <c r="B3" s="8">
        <v>103</v>
      </c>
    </row>
    <row r="4" spans="1:2" ht="18" customHeight="1">
      <c r="A4" s="8">
        <v>40</v>
      </c>
      <c r="B4" s="8">
        <v>104</v>
      </c>
    </row>
    <row r="5" spans="1:2" ht="18" customHeight="1">
      <c r="A5" s="8">
        <v>50</v>
      </c>
      <c r="B5" s="8">
        <v>105</v>
      </c>
    </row>
  </sheetData>
  <pageMargins left="0.3" right="0.3" top="0.5" bottom="0.5" header="0.2" footer="0.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showGridLines="0" workbookViewId="0"/>
  </sheetViews>
  <sheetFormatPr defaultRowHeight="18"/>
  <sheetData>
    <row r="1" spans="1:2" ht="18" customHeight="1">
      <c r="A1" s="8">
        <v>100</v>
      </c>
      <c r="B1" s="8">
        <v>1001</v>
      </c>
    </row>
    <row r="2" spans="1:2" ht="18" customHeight="1">
      <c r="A2" s="8">
        <v>200</v>
      </c>
      <c r="B2" s="8">
        <v>1002</v>
      </c>
    </row>
    <row r="3" spans="1:2" ht="18" customHeight="1">
      <c r="A3" s="8">
        <v>300</v>
      </c>
      <c r="B3" s="8">
        <v>1003</v>
      </c>
    </row>
    <row r="4" spans="1:2" ht="18" customHeight="1">
      <c r="A4" s="8">
        <v>400</v>
      </c>
      <c r="B4" s="8">
        <v>1004</v>
      </c>
    </row>
    <row r="5" spans="1:2" ht="18" customHeight="1">
      <c r="A5" s="8">
        <v>500</v>
      </c>
      <c r="B5" s="8">
        <v>1005</v>
      </c>
    </row>
  </sheetData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CellRune Excel Oracle</dc:title>
  <dc:subject>Deterministic Excel formula conformance oracle</dc:subject>
  <dc:creator>CellRune oracle generator</dc:creator>
  <cp:keywords/>
  <dc:description/>
  <cp:lastModifiedBy/>
  <cp:revision/>
  <dcterms:created xsi:type="dcterms:W3CDTF">2026-07-27T00:00:00Z</dcterms:created>
  <dcterms:modified xsi:type="dcterms:W3CDTF">2026-07-29T07:22:23Z</dcterms:modified>
  <cp:category/>
  <cp:contentStatus/>
</cp:coreProperties>
</file>