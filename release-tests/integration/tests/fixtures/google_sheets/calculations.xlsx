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<sst xmlns="http://schemas.openxmlformats.org/spreadsheetml/2006/main" count="46" uniqueCount="43">
  <si>
    <t>Name</t>
  </si>
  <si>
    <t>Qty</t>
  </si>
  <si>
    <t>Price</t>
  </si>
  <si>
    <t>Date</t>
  </si>
  <si>
    <t>Flag</t>
  </si>
  <si>
    <t>apple</t>
  </si>
  <si>
    <t>banana</t>
  </si>
  <si>
    <t>한글 텍스트</t>
  </si>
  <si>
    <t>case</t>
  </si>
  <si>
    <t>result</t>
  </si>
  <si>
    <t>sum</t>
  </si>
  <si>
    <t>average</t>
  </si>
  <si>
    <t>product</t>
  </si>
  <si>
    <t>if</t>
  </si>
  <si>
    <t>concat</t>
  </si>
  <si>
    <t>vlookup</t>
  </si>
  <si>
    <t>date_add</t>
  </si>
  <si>
    <t>text_date</t>
  </si>
  <si>
    <t>year</t>
  </si>
  <si>
    <t>hour</t>
  </si>
  <si>
    <t>countif</t>
  </si>
  <si>
    <t>sumif</t>
  </si>
  <si>
    <t>round</t>
  </si>
  <si>
    <t>float</t>
  </si>
  <si>
    <t>comparison</t>
  </si>
  <si>
    <t>div0</t>
  </si>
  <si>
    <t>na</t>
  </si>
  <si>
    <t>lookup_na</t>
  </si>
  <si>
    <t>num</t>
  </si>
  <si>
    <t>value</t>
  </si>
  <si>
    <t>ref</t>
  </si>
  <si>
    <t>name</t>
  </si>
  <si>
    <t>spill_sequence</t>
  </si>
  <si>
    <t>spill_arrayformula</t>
  </si>
  <si>
    <t>spill_sort</t>
  </si>
  <si>
    <t>spill_filter</t>
  </si>
  <si>
    <t>B2:B5&gt;0))</t>
  </si>
  <si>
    <t>spill_unique</t>
  </si>
  <si>
    <t>google_split</t>
  </si>
  <si>
    <t>google_regexmatch</t>
  </si>
  <si>
    <t>google_join</t>
  </si>
  <si>
    <t>google_isbetween</t>
  </si>
  <si>
    <t>google_query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</si>
</sst>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3.0</v>
      </c>
      <c r="C2" s="1">
        <v>1.1</v>
      </c>
      <c r="D2" s="2">
        <v>45306.0</v>
      </c>
      <c r="E2" s="1" t="b">
        <v>1</v>
      </c>
    </row>
    <row r="3">
      <c r="A3" s="1" t="s">
        <v>6</v>
      </c>
      <c r="B3" s="1">
        <v>0.0</v>
      </c>
      <c r="C3" s="1">
        <v>0.1</v>
      </c>
      <c r="D3" s="2">
        <v>61.0</v>
      </c>
      <c r="E3" s="1" t="b">
        <v>0</v>
      </c>
    </row>
    <row r="4">
      <c r="A4" s="1" t="s">
        <v>5</v>
      </c>
      <c r="B4" s="1">
        <v>12.5</v>
      </c>
      <c r="C4" s="1">
        <v>1234567.891</v>
      </c>
      <c r="D4" s="3">
        <v>73050.57326388889</v>
      </c>
      <c r="E4" s="1" t="b">
        <v>1</v>
      </c>
    </row>
    <row r="5">
      <c r="A5" s="1" t="s">
        <v>7</v>
      </c>
      <c r="B5" s="1">
        <v>-4.0</v>
      </c>
      <c r="C5" s="1">
        <v>1.0E-10</v>
      </c>
      <c r="D5" s="2">
        <v>45351.0</v>
      </c>
      <c r="E5" s="1" t="b">
        <v>0</v>
      </c>
    </row>
    <row r="7">
      <c r="A7" s="1" t="s">
        <v>8</v>
      </c>
      <c r="B7" s="1" t="s">
        <v>9</v>
      </c>
    </row>
    <row r="8">
      <c r="A8" s="1" t="s">
        <v>10</v>
      </c>
      <c r="B8" s="4">
        <f>SUM(B2:B5)</f>
        <v>11.5</v>
      </c>
    </row>
    <row r="9">
      <c r="A9" s="1" t="s">
        <v>11</v>
      </c>
      <c r="B9" s="4">
        <f>AVERAGE(C2:C5)</f>
        <v>308642.2728</v>
      </c>
    </row>
    <row r="10">
      <c r="A10" s="1" t="s">
        <v>12</v>
      </c>
      <c r="B10" s="4">
        <f>B2*C2</f>
        <v>3.3</v>
      </c>
    </row>
    <row r="11">
      <c r="A11" s="1" t="s">
        <v>13</v>
      </c>
      <c r="B11" s="4" t="str">
        <f>IF(E2,"yes","no")</f>
        <v>yes</v>
      </c>
    </row>
    <row r="12">
      <c r="A12" s="1" t="s">
        <v>14</v>
      </c>
      <c r="B12" s="4" t="str">
        <f>A2&amp;" "&amp;B2</f>
        <v>apple 3</v>
      </c>
    </row>
    <row r="13">
      <c r="A13" s="1" t="s">
        <v>15</v>
      </c>
      <c r="B13" s="4">
        <f>VLOOKUP("banana",A2:C5,3,FALSE)</f>
        <v>0.1</v>
      </c>
    </row>
    <row r="14">
      <c r="A14" s="1" t="s">
        <v>16</v>
      </c>
      <c r="B14" s="5">
        <f>DATE(2024,1,15)+30</f>
        <v>45336</v>
      </c>
    </row>
    <row r="15">
      <c r="A15" s="1" t="s">
        <v>17</v>
      </c>
      <c r="B15" s="4" t="str">
        <f>TEXT(D2,"yyyy-mm-dd")</f>
        <v>2024-01-15</v>
      </c>
    </row>
    <row r="16">
      <c r="A16" s="1" t="s">
        <v>18</v>
      </c>
      <c r="B16" s="4">
        <f>YEAR(D4)</f>
        <v>2099</v>
      </c>
    </row>
    <row r="17">
      <c r="A17" s="1" t="s">
        <v>19</v>
      </c>
      <c r="B17" s="4">
        <f>HOUR(D4)</f>
        <v>13</v>
      </c>
    </row>
    <row r="18">
      <c r="A18" s="1" t="s">
        <v>20</v>
      </c>
      <c r="B18" s="4">
        <f>COUNTIF(A2:A5,"apple")</f>
        <v>2</v>
      </c>
    </row>
    <row r="19">
      <c r="A19" s="1" t="s">
        <v>21</v>
      </c>
      <c r="B19" s="4">
        <f>SUMIF(A2:A5,"apple",B2:B5)</f>
        <v>15.5</v>
      </c>
    </row>
    <row r="20">
      <c r="A20" s="1" t="s">
        <v>22</v>
      </c>
      <c r="B20" s="4">
        <f>ROUND(C4,2)</f>
        <v>1234567.89</v>
      </c>
    </row>
    <row r="21">
      <c r="A21" s="1" t="s">
        <v>23</v>
      </c>
      <c r="B21" s="4">
        <f>0.1+0.2</f>
        <v>0.3</v>
      </c>
    </row>
    <row r="22">
      <c r="A22" s="1" t="s">
        <v>24</v>
      </c>
      <c r="B22" s="4" t="b">
        <f>B2&gt;1</f>
        <v>1</v>
      </c>
    </row>
    <row r="23">
      <c r="A23" s="1" t="s">
        <v>25</v>
      </c>
      <c r="B23" s="4" t="str">
        <f>1/0</f>
        <v>#DIV/0!</v>
      </c>
    </row>
    <row r="24">
      <c r="A24" s="1" t="s">
        <v>26</v>
      </c>
      <c r="B24" s="4" t="str">
        <f>NA()</f>
        <v>#N/A</v>
      </c>
    </row>
    <row r="25">
      <c r="A25" s="1" t="s">
        <v>27</v>
      </c>
      <c r="B25" s="4" t="str">
        <f>VLOOKUP("zzz",A2:C5,2,FALSE)</f>
        <v>#N/A</v>
      </c>
    </row>
    <row r="26">
      <c r="A26" s="1" t="s">
        <v>28</v>
      </c>
      <c r="B26" s="4" t="str">
        <f>SQRT(-1)</f>
        <v>#NUM!</v>
      </c>
    </row>
    <row r="27">
      <c r="A27" s="1" t="s">
        <v>29</v>
      </c>
      <c r="B27" s="4" t="str">
        <f>A2+1</f>
        <v>#VALUE!</v>
      </c>
    </row>
    <row r="28">
      <c r="A28" s="1" t="s">
        <v>30</v>
      </c>
      <c r="B28" s="4" t="str">
        <f t="array" ref="B28">INDIRECT("ZZZ")</f>
        <v>#REF!</v>
      </c>
    </row>
    <row r="29">
      <c r="A29" s="1" t="s">
        <v>31</v>
      </c>
      <c r="B29" s="4" t="str">
        <f>NOSUCHFUNC(1)</f>
        <v>#NAME?</v>
      </c>
    </row>
    <row r="30">
      <c r="A30" s="1" t="s">
        <v>32</v>
      </c>
      <c r="B30" s="4">
        <f t="array" ref="B30:D30">SEQUENCE(1,3)</f>
        <v>1</v>
      </c>
      <c r="C30" s="4">
        <v>2.0</v>
      </c>
      <c r="D30" s="4">
        <v>3.0</v>
      </c>
    </row>
    <row r="31">
      <c r="A31" s="1" t="s">
        <v>33</v>
      </c>
      <c r="B31" s="4">
        <f t="array" ref="B31:E31">TRANSPOSE(B2:B5*2)</f>
        <v>6</v>
      </c>
      <c r="C31" s="4">
        <v>0.0</v>
      </c>
      <c r="D31" s="4">
        <v>25.0</v>
      </c>
      <c r="E31" s="4">
        <v>-8.0</v>
      </c>
    </row>
    <row r="32">
      <c r="A32" s="1" t="s">
        <v>34</v>
      </c>
      <c r="B32" s="4">
        <f t="array" ref="B32:E32">TRANSPOSE(SORT(B2:B5))</f>
        <v>-4</v>
      </c>
      <c r="C32" s="4">
        <v>0.0</v>
      </c>
      <c r="D32" s="4">
        <v>3.0</v>
      </c>
      <c r="E32" s="4">
        <v>12.5</v>
      </c>
    </row>
    <row r="33">
      <c r="A33" s="1" t="s">
        <v>35</v>
      </c>
      <c r="B33" s="4" t="str">
        <f>TRANSPOSE(FILTER(A2:A5</f>
        <v>#ERROR!</v>
      </c>
      <c r="C33" s="1" t="s">
        <v>36</v>
      </c>
    </row>
    <row r="34">
      <c r="A34" s="1" t="s">
        <v>37</v>
      </c>
      <c r="B34" s="4" t="str">
        <f t="array" ref="B34:D34">TRANSPOSE(UNIQUE(A2:A5))</f>
        <v>apple</v>
      </c>
      <c r="C34" s="4" t="s">
        <v>6</v>
      </c>
      <c r="D34" s="4" t="s">
        <v>7</v>
      </c>
    </row>
    <row r="35">
      <c r="A35" s="1" t="s">
        <v>38</v>
      </c>
      <c r="B35" s="4" t="str">
        <f>IFERROR(__xludf.DUMMYFUNCTION("SPLIT(""a,b,c"","","")"),"a")</f>
        <v>a</v>
      </c>
      <c r="C35" s="4" t="str">
        <f>IFERROR(__xludf.DUMMYFUNCTION("""COMPUTED_VALUE"""),"b")</f>
        <v>b</v>
      </c>
      <c r="D35" s="4" t="str">
        <f>IFERROR(__xludf.DUMMYFUNCTION("""COMPUTED_VALUE"""),"c")</f>
        <v>c</v>
      </c>
    </row>
    <row r="36">
      <c r="A36" s="1" t="s">
        <v>39</v>
      </c>
      <c r="B36" s="4" t="b">
        <f>IFERROR(__xludf.DUMMYFUNCTION("REGEXMATCH(A2,""pp"")"),TRUE)</f>
        <v>1</v>
      </c>
    </row>
    <row r="37">
      <c r="A37" s="1" t="s">
        <v>40</v>
      </c>
      <c r="B37" s="4" t="str">
        <f>IFERROR(__xludf.DUMMYFUNCTION("JOIN(""-"",A2:A3)"),"apple-banana")</f>
        <v>apple-banana</v>
      </c>
    </row>
    <row r="38">
      <c r="A38" s="1" t="s">
        <v>41</v>
      </c>
      <c r="B38" s="4" t="b">
        <f>IFERROR(__xludf.DUMMYFUNCTION("ISBETWEEN(5,1,10)"),TRUE)</f>
        <v>1</v>
      </c>
    </row>
    <row r="39">
      <c r="A39" s="1" t="s">
        <v>42</v>
      </c>
      <c r="B39" s="4" t="str">
        <f>IFERROR(__xludf.DUMMYFUNCTION("TRANSPOSE(QUERY(A1:C5,""select A where B &gt; 1"",1))"),"Name")</f>
        <v>Name</v>
      </c>
      <c r="C39" s="4" t="str">
        <f>IFERROR(__xludf.DUMMYFUNCTION("""COMPUTED_VALUE"""),"apple")</f>
        <v>apple</v>
      </c>
      <c r="D39" s="4" t="str">
        <f>IFERROR(__xludf.DUMMYFUNCTION("""COMPUTED_VALUE"""),"apple")</f>
        <v>apple</v>
      </c>
    </row>
  </sheetData>
  <drawing r:id="rId1"/>
</worksheet>
</file>